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VAEXCL\"/>
    </mc:Choice>
  </mc:AlternateContent>
  <bookViews>
    <workbookView xWindow="0" yWindow="0" windowWidth="15360" windowHeight="9885"/>
  </bookViews>
  <sheets>
    <sheet name="HIMALAYA_SEP26" sheetId="1" r:id="rId1"/>
  </sheets>
  <calcPr calcId="0"/>
</workbook>
</file>

<file path=xl/calcChain.xml><?xml version="1.0" encoding="utf-8"?>
<calcChain xmlns="http://schemas.openxmlformats.org/spreadsheetml/2006/main">
  <c r="T7" i="1" l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</calcChain>
</file>

<file path=xl/sharedStrings.xml><?xml version="1.0" encoding="utf-8"?>
<sst xmlns="http://schemas.openxmlformats.org/spreadsheetml/2006/main" count="540" uniqueCount="251">
  <si>
    <t xml:space="preserve"> HIMALAYA ALTHEA LOTION</t>
  </si>
  <si>
    <t>100ML</t>
  </si>
  <si>
    <t>30041010</t>
  </si>
  <si>
    <t>AACTARIL SOAP</t>
  </si>
  <si>
    <t>75 GM</t>
  </si>
  <si>
    <t>33041000</t>
  </si>
  <si>
    <t>ABANA TAB</t>
  </si>
  <si>
    <t>60 TAB</t>
  </si>
  <si>
    <t>AMALAKI TAB</t>
  </si>
  <si>
    <t>60TAB</t>
  </si>
  <si>
    <t>30049011</t>
  </si>
  <si>
    <t>ARJUNA CAPSULE</t>
  </si>
  <si>
    <t>60CAP</t>
  </si>
  <si>
    <t>ASHWAGANDHA CAPS</t>
  </si>
  <si>
    <t>60cap</t>
  </si>
  <si>
    <t>0710</t>
  </si>
  <si>
    <t>AYURSLIM 60CAP SINGALE</t>
  </si>
  <si>
    <t>AYURSLIM CAPSULE COMBIPACK</t>
  </si>
  <si>
    <t>BABY CARE GIFT JAR PACK</t>
  </si>
  <si>
    <t>1 JAR</t>
  </si>
  <si>
    <t>BABY DIAPERS MEDIUM</t>
  </si>
  <si>
    <t>1</t>
  </si>
  <si>
    <t>BABY DIPERS 2S (L)</t>
  </si>
  <si>
    <t>1PIC</t>
  </si>
  <si>
    <t>BABY DIPERS 2S (S)</t>
  </si>
  <si>
    <t>BAEL CAPSULE</t>
  </si>
  <si>
    <t>BLEMINOR CREAM(HIMALAYA)</t>
  </si>
  <si>
    <t>30GM</t>
  </si>
  <si>
    <t>BONISPAZ DROP</t>
  </si>
  <si>
    <t>15ML</t>
  </si>
  <si>
    <t>BRAHMI CAPSULE</t>
  </si>
  <si>
    <t>BRESOL SY 200ML</t>
  </si>
  <si>
    <t>200ML</t>
  </si>
  <si>
    <t>BRESOL SYRUP</t>
  </si>
  <si>
    <t>BRESOL TAB(HIMALAYA)</t>
  </si>
  <si>
    <t>CALRINA CREAM(HIMALA</t>
  </si>
  <si>
    <t>CHIROPEX CREAM</t>
  </si>
  <si>
    <t>CLARINA CREAM  (HIMALAYA)</t>
  </si>
  <si>
    <t>CLARINA FACEWASH(HIMALAY)</t>
  </si>
  <si>
    <t>60ML</t>
  </si>
  <si>
    <t>CLARINA KIT</t>
  </si>
  <si>
    <t>KIT</t>
  </si>
  <si>
    <t>CONFIDO TAB</t>
  </si>
  <si>
    <t>CYSTONE FORTE TAB</t>
  </si>
  <si>
    <t>30tab</t>
  </si>
  <si>
    <t>CYSTONE SYP 100 ML</t>
  </si>
  <si>
    <t>CYSTONE SYRUP</t>
  </si>
  <si>
    <t>CYSTONE TAB.</t>
  </si>
  <si>
    <t>DIABECON DS TABLET</t>
  </si>
  <si>
    <t>DIABECON TABLET</t>
  </si>
  <si>
    <t>DIAKOF SYRUP</t>
  </si>
  <si>
    <t>DIAREX SYRUP</t>
  </si>
  <si>
    <t>100ml</t>
  </si>
  <si>
    <t>DIAREX TAB(HIMALAYA)</t>
  </si>
  <si>
    <t>30TA</t>
  </si>
  <si>
    <t>EVECARE CAP</t>
  </si>
  <si>
    <t>30CAP.</t>
  </si>
  <si>
    <t>EVECARE FORTE SYRUP</t>
  </si>
  <si>
    <t>EVECARE FORTE TAB</t>
  </si>
  <si>
    <t>10tab</t>
  </si>
  <si>
    <t>372000344</t>
  </si>
  <si>
    <t>EVECARE SYRUP</t>
  </si>
  <si>
    <t>400ML</t>
  </si>
  <si>
    <t>GASEX TAB (HIMALAYA)</t>
  </si>
  <si>
    <t>100TAB</t>
  </si>
  <si>
    <t>GENTAL BABY WIPES</t>
  </si>
  <si>
    <t>10</t>
  </si>
  <si>
    <t>48pc</t>
  </si>
  <si>
    <t>33079090</t>
  </si>
  <si>
    <t>GENTEL BABAY WIPES 24S</t>
  </si>
  <si>
    <t>24PC</t>
  </si>
  <si>
    <t>9619090</t>
  </si>
  <si>
    <t>GENTEL BABY WIPES SHISHUANAND</t>
  </si>
  <si>
    <t>72PC</t>
  </si>
  <si>
    <t>GENTLE BABY WIPES 72PC</t>
  </si>
  <si>
    <t>GERIFORT TAB</t>
  </si>
  <si>
    <t>100 TA</t>
  </si>
  <si>
    <t>GERIFORTE SYP.</t>
  </si>
  <si>
    <t>GOKHARU CAPSULE</t>
  </si>
  <si>
    <t>GUDUCHI CAPSULE</t>
  </si>
  <si>
    <t>HADJOD CAPSULE</t>
  </si>
  <si>
    <t>HAIRZONE SOLUTION (HIMALAYA)</t>
  </si>
  <si>
    <t>33051090</t>
  </si>
  <si>
    <t>HERBOLAX CAP</t>
  </si>
  <si>
    <t>10 CAP</t>
  </si>
  <si>
    <t>HERBOLAX TAB</t>
  </si>
  <si>
    <t>HIM COLD BALM 10GM</t>
  </si>
  <si>
    <t>10GM</t>
  </si>
  <si>
    <t>HIM FOOTCARE CREAM 20GM</t>
  </si>
  <si>
    <t>20GM</t>
  </si>
  <si>
    <t>HIMA;LAYA BODY CREAM JASMINE</t>
  </si>
  <si>
    <t>50ML</t>
  </si>
  <si>
    <t>HIMALAY BABY POW.100GM</t>
  </si>
  <si>
    <t>100GM</t>
  </si>
  <si>
    <t>HIMALAYA BABY CREAM</t>
  </si>
  <si>
    <t>HIMALAYA BABY DIAPERS M 2PC</t>
  </si>
  <si>
    <t>HIMALAYA BABY LOTION</t>
  </si>
  <si>
    <t>40ML</t>
  </si>
  <si>
    <t>33049930</t>
  </si>
  <si>
    <t>HIMALAYA BABY LOTION 100 ML</t>
  </si>
  <si>
    <t>100 ML</t>
  </si>
  <si>
    <t>HIMALAYA BABY LOTION 200ML</t>
  </si>
  <si>
    <t>HIMALAYA BABY MASSAGE OIL</t>
  </si>
  <si>
    <t>HIMALAYA BABY OIL 200ML</t>
  </si>
  <si>
    <t>200 ML</t>
  </si>
  <si>
    <t>HIMALAYA BABY POW 30GM</t>
  </si>
  <si>
    <t>33049120</t>
  </si>
  <si>
    <t>HIMALAYA BABY POW 400GM</t>
  </si>
  <si>
    <t>HIMALAYA BABY POW.50GM</t>
  </si>
  <si>
    <t>50GM</t>
  </si>
  <si>
    <t>HIMALAYA BABY SHAMPOO 100ML</t>
  </si>
  <si>
    <t>HIMALAYA BABY SOAP 100GM</t>
  </si>
  <si>
    <t>100gm</t>
  </si>
  <si>
    <t>34011110</t>
  </si>
  <si>
    <t>HIMALAYA BABY SOAP 125 GM</t>
  </si>
  <si>
    <t>125 GM</t>
  </si>
  <si>
    <t>HIMALAYA BABY SOAP 50GM</t>
  </si>
  <si>
    <t>HIMALAYA BABY SOAP 75 GM</t>
  </si>
  <si>
    <t>HIMALAYA BABY SOAP 75GM GATTU</t>
  </si>
  <si>
    <t>75*3</t>
  </si>
  <si>
    <t>HIMALAYA BODY CREAM LAVENDER</t>
  </si>
  <si>
    <t>HIMALAYA BODY CREAM ROSE</t>
  </si>
  <si>
    <t>HIMALAYA GENTLE BABY BATH 100M</t>
  </si>
  <si>
    <t>HIMALAYA GENTLE BABY BATH200ML</t>
  </si>
  <si>
    <t>HIMALAYA GIFT PACK MEDIUM</t>
  </si>
  <si>
    <t>1PC</t>
  </si>
  <si>
    <t>HIMALAYA GIFT PACK SMALL</t>
  </si>
  <si>
    <t>33049990</t>
  </si>
  <si>
    <t>HIMALAYA GIFT SETS WINDOW</t>
  </si>
  <si>
    <t>HIMALAYA MASSAGE OIL 30ML</t>
  </si>
  <si>
    <t>30ML</t>
  </si>
  <si>
    <t>HIMALAYA PRICKLT HEAT POWDER</t>
  </si>
  <si>
    <t>HIMALAYA SHILAJIT CAP</t>
  </si>
  <si>
    <t>20CAP</t>
  </si>
  <si>
    <t>HIMALAYA SOAP 25GM</t>
  </si>
  <si>
    <t>25GM</t>
  </si>
  <si>
    <t>HIMALAYA SOAP BOX</t>
  </si>
  <si>
    <t>3401110</t>
  </si>
  <si>
    <t>HIMCOSPAZ CAP</t>
  </si>
  <si>
    <t>10CAP</t>
  </si>
  <si>
    <t>HIMPLASIA TAB</t>
  </si>
  <si>
    <t>30TAB</t>
  </si>
  <si>
    <t>HIORA GA LOTION</t>
  </si>
  <si>
    <t>44900785</t>
  </si>
  <si>
    <t>HIORA K M/W</t>
  </si>
  <si>
    <t>150ML</t>
  </si>
  <si>
    <t>HIORA K MOUTHWASH(HIMALAYA)</t>
  </si>
  <si>
    <t>215ML</t>
  </si>
  <si>
    <t>HIORA MOUTHWASH</t>
  </si>
  <si>
    <t>215 ML</t>
  </si>
  <si>
    <t>HIORA TOOTHPESTE</t>
  </si>
  <si>
    <t>3004</t>
  </si>
  <si>
    <t>HIORA-GALOTION(HIMALAYA)</t>
  </si>
  <si>
    <t>HIORA-K PASTE(100GM)</t>
  </si>
  <si>
    <t>HIORA-K PASTE(HIMALAYA)</t>
  </si>
  <si>
    <t>33061020</t>
  </si>
  <si>
    <t>HIORA-SG GEL(HIMALAYA)</t>
  </si>
  <si>
    <t>IMMUSANTE TAB</t>
  </si>
  <si>
    <t>20TAB</t>
  </si>
  <si>
    <t>INTIMA 100ML</t>
  </si>
  <si>
    <t>34025000</t>
  </si>
  <si>
    <t>KARELA CAPSULE</t>
  </si>
  <si>
    <t>LASUNA CAPSULE</t>
  </si>
  <si>
    <t>LIV 52 DS TAB</t>
  </si>
  <si>
    <t>LIV 52 HB TAB</t>
  </si>
  <si>
    <t>LIV 52 SY 200ML</t>
  </si>
  <si>
    <t>LIV 52DS TAB.</t>
  </si>
  <si>
    <t>LIV52 DROP</t>
  </si>
  <si>
    <t>LIV52 DS SYP</t>
  </si>
  <si>
    <t>LIV52 DS SYRUP SF</t>
  </si>
  <si>
    <t>LIV52 HB CAP(HIMALAYA)</t>
  </si>
  <si>
    <t>10,S</t>
  </si>
  <si>
    <t>LIV52 SYP</t>
  </si>
  <si>
    <t>LIV52 SYP.</t>
  </si>
  <si>
    <t>LIV52 SYRUP SF</t>
  </si>
  <si>
    <t>LIV52 TAB (HIMALAYA)</t>
  </si>
  <si>
    <t>LUKOL SYRUP</t>
  </si>
  <si>
    <t>LUKOL TAB</t>
  </si>
  <si>
    <t>60TAB.</t>
  </si>
  <si>
    <t>MANJISHTA CAPSULES</t>
  </si>
  <si>
    <t>MENOSAN TABLET</t>
  </si>
  <si>
    <t>MENTAT DS SYP.</t>
  </si>
  <si>
    <t>MENTAT GUMMIES</t>
  </si>
  <si>
    <t>30CAP</t>
  </si>
  <si>
    <t>MENTAT SYP.</t>
  </si>
  <si>
    <t>MENTAT TAB(HIMALAYA)</t>
  </si>
  <si>
    <t>NEEM SY HIMALAYA</t>
  </si>
  <si>
    <t>200ml</t>
  </si>
  <si>
    <t>NEEM TABLET</t>
  </si>
  <si>
    <t>ORO T ORAL RINSE</t>
  </si>
  <si>
    <t>200</t>
  </si>
  <si>
    <t>OXITRAD CAP</t>
  </si>
  <si>
    <t>PILEX FORTE TAB</t>
  </si>
  <si>
    <t>PILEX OINT.   (HIMALAYA)</t>
  </si>
  <si>
    <t>PILEX TAB</t>
  </si>
  <si>
    <t>PLATENZA TAB</t>
  </si>
  <si>
    <t>PLATINZA SYRUP</t>
  </si>
  <si>
    <t>PUNARAVA CAPSUL</t>
  </si>
  <si>
    <t>PURIM TAB.</t>
  </si>
  <si>
    <t>QUISTA KIDZ (VANILA)</t>
  </si>
  <si>
    <t>200gm</t>
  </si>
  <si>
    <t>RENALKA SYRUP</t>
  </si>
  <si>
    <t>REOSTO TABLET</t>
  </si>
  <si>
    <t>RUMALAYA FORT TAB</t>
  </si>
  <si>
    <t>RUMALAYA TABLET</t>
  </si>
  <si>
    <t>SEPTILIN DROP</t>
  </si>
  <si>
    <t>SEPTILIN GUMMIES</t>
  </si>
  <si>
    <t>SEPTILIN TABLET</t>
  </si>
  <si>
    <t>SEPTILINE SYP.</t>
  </si>
  <si>
    <t>SERPINA TABLET</t>
  </si>
  <si>
    <t>SHALLAKI TABLET</t>
  </si>
  <si>
    <t>SHATAVARI CAPS</t>
  </si>
  <si>
    <t>SHATAVARI SYP</t>
  </si>
  <si>
    <t>30049099</t>
  </si>
  <si>
    <t>SHIGRU CAPSULES</t>
  </si>
  <si>
    <t>SHUDDHA GUGGUL CAPSULE</t>
  </si>
  <si>
    <t>SOOTHING BABY WIPES 24S</t>
  </si>
  <si>
    <t>SPEMAN TAB</t>
  </si>
  <si>
    <t>STYPLON 30 TAB</t>
  </si>
  <si>
    <t>30 TAB</t>
  </si>
  <si>
    <t>STYPLON TAB</t>
  </si>
  <si>
    <t>TAGARA CAPSULE</t>
  </si>
  <si>
    <t>TALKET CAP.(HIMALAYA</t>
  </si>
  <si>
    <t>60'S</t>
  </si>
  <si>
    <t>TALKET SYP.(HIMALAYA )</t>
  </si>
  <si>
    <t>120ML</t>
  </si>
  <si>
    <t>TRIKATU SYRUP</t>
  </si>
  <si>
    <t>7002266</t>
  </si>
  <si>
    <t>TRIKATU TAB</t>
  </si>
  <si>
    <t>TRIPHALA CAPSULE</t>
  </si>
  <si>
    <t>TRIPHALA SYRUP</t>
  </si>
  <si>
    <t>TULSI CAPSULE</t>
  </si>
  <si>
    <t>TULSI SYRUP</t>
  </si>
  <si>
    <t>V GEL OINTMENT</t>
  </si>
  <si>
    <t>VRIKSHAMLA CAPSULE</t>
  </si>
  <si>
    <t>YASHTI MADHU TAB</t>
  </si>
  <si>
    <t/>
  </si>
  <si>
    <t>OPENING :  310546.27</t>
  </si>
  <si>
    <t>PURCHASE :   87826.88</t>
  </si>
  <si>
    <t>SALES :  121284.47</t>
  </si>
  <si>
    <t>UC SALE :       0.00</t>
  </si>
  <si>
    <t>CL.STK.:  292352.89</t>
  </si>
  <si>
    <t>Opening On SaleRate:  365499.5</t>
  </si>
  <si>
    <t>Purchase On SaleRate:   99525.</t>
  </si>
  <si>
    <t>Closing On SaleRate:  341383.1</t>
  </si>
  <si>
    <t xml:space="preserve">SHRIKRISHNA AGENCIES                    </t>
  </si>
  <si>
    <t>SHRIRAM COMPLEX,OFFICE NO-108,           From : 01/09/26</t>
  </si>
  <si>
    <t>FIRST FLOOR,NEAR SHAHAR SAHAKARI BANK,   To : 30/09/26</t>
  </si>
  <si>
    <t>NAVIPETH AHILYANAGAR                    Report Date :  1-Oct-2026</t>
  </si>
  <si>
    <t>STOCK &amp; SALE STATEMENT</t>
  </si>
  <si>
    <t>Company Name : HIMALAYA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</si>
</sst>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8A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5"/>
  <sheetViews>
    <sheetView tabSelected="1" workbookViewId="0">
      <pane ySplit="7" topLeftCell="A8" activePane="bottomLeft" state="frozen"/>
      <selection pane="bottomLeft" activeCell="A8" sqref="A8:T8"/>
    </sheetView>
  </sheetViews>
  <sheetFormatPr defaultRowHeight="15" x14ac:dyDescent="0.25"/>
  <cols>
    <col min="1" max="1" width="33.85546875" bestFit="1" customWidth="1"/>
    <col min="2" max="2" width="7.42578125" bestFit="1" customWidth="1"/>
    <col min="3" max="3" width="9.7109375" bestFit="1" customWidth="1"/>
    <col min="4" max="4" width="8.42578125" bestFit="1" customWidth="1"/>
    <col min="5" max="5" width="9.28515625" bestFit="1" customWidth="1"/>
    <col min="6" max="6" width="8" bestFit="1" customWidth="1"/>
    <col min="7" max="7" width="8.85546875" bestFit="1" customWidth="1"/>
    <col min="8" max="8" width="7.42578125" bestFit="1" customWidth="1"/>
    <col min="9" max="9" width="7.28515625" bestFit="1" customWidth="1"/>
    <col min="10" max="10" width="8.140625" bestFit="1" customWidth="1"/>
    <col min="11" max="11" width="7.140625" bestFit="1" customWidth="1"/>
    <col min="12" max="12" width="10.140625" bestFit="1" customWidth="1"/>
    <col min="13" max="13" width="10" bestFit="1" customWidth="1"/>
    <col min="14" max="14" width="9" bestFit="1" customWidth="1"/>
    <col min="15" max="16" width="10" bestFit="1" customWidth="1"/>
    <col min="17" max="17" width="10.140625" bestFit="1" customWidth="1"/>
    <col min="18" max="18" width="8.28515625" bestFit="1" customWidth="1"/>
    <col min="19" max="19" width="10.28515625" bestFit="1" customWidth="1"/>
    <col min="20" max="20" width="12.42578125" bestFit="1" customWidth="1"/>
  </cols>
  <sheetData>
    <row r="1" spans="1:20" x14ac:dyDescent="0.25">
      <c r="A1" s="1" t="s">
        <v>245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 t="s">
        <v>246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 t="s">
        <v>247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 t="s">
        <v>248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2" t="s">
        <v>249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5">
      <c r="A6" s="2" t="s">
        <v>250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5">
      <c r="A7" s="3" t="str">
        <f>UPPER("name")</f>
        <v>NAME</v>
      </c>
      <c r="B7" s="3" t="str">
        <f>UPPER("pack")</f>
        <v>PACK</v>
      </c>
      <c r="C7" s="3" t="str">
        <f>UPPER("openstk")</f>
        <v>OPENSTK</v>
      </c>
      <c r="D7" s="3" t="str">
        <f>UPPER("purstk")</f>
        <v>PURSTK</v>
      </c>
      <c r="E7" s="3" t="str">
        <f>UPPER("purscm")</f>
        <v>PURSCM</v>
      </c>
      <c r="F7" s="3" t="str">
        <f>UPPER("crestk")</f>
        <v>CRESTK</v>
      </c>
      <c r="G7" s="3" t="str">
        <f>UPPER("salestk")</f>
        <v>SALESTK</v>
      </c>
      <c r="H7" s="3" t="str">
        <f>UPPER("slscm")</f>
        <v>SLSCM</v>
      </c>
      <c r="I7" s="3" t="str">
        <f>UPPER("ucstk")</f>
        <v>UCSTK</v>
      </c>
      <c r="J7" s="3" t="str">
        <f>UPPER("ucscm")</f>
        <v>UCSCM</v>
      </c>
      <c r="K7" s="3" t="str">
        <f>UPPER("dbstk")</f>
        <v>DBSTK</v>
      </c>
      <c r="L7" s="3" t="str">
        <f>UPPER("closestk")</f>
        <v>CLOSESTK</v>
      </c>
      <c r="M7" s="3" t="str">
        <f>UPPER("openval")</f>
        <v>OPENVAL</v>
      </c>
      <c r="N7" s="3" t="str">
        <f>UPPER("purval")</f>
        <v>PURVAL</v>
      </c>
      <c r="O7" s="3" t="str">
        <f>UPPER("saleval")</f>
        <v>SALEVAL</v>
      </c>
      <c r="P7" s="3" t="str">
        <f>UPPER("clsval")</f>
        <v>CLSVAL</v>
      </c>
      <c r="Q7" s="3" t="str">
        <f>UPPER("hsncode")</f>
        <v>HSNCODE</v>
      </c>
      <c r="R7" s="3" t="str">
        <f>UPPER("taxper")</f>
        <v>TAXPER</v>
      </c>
      <c r="S7" s="3" t="str">
        <f>UPPER("slgstval")</f>
        <v>SLGSTVAL</v>
      </c>
      <c r="T7" s="3" t="str">
        <f>UPPER("scmgstval")</f>
        <v>SCMGSTVAL</v>
      </c>
    </row>
    <row r="8" spans="1:20" x14ac:dyDescent="0.25">
      <c r="A8" t="s">
        <v>0</v>
      </c>
      <c r="B8" t="s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2</v>
      </c>
      <c r="R8">
        <v>5</v>
      </c>
      <c r="S8">
        <v>0</v>
      </c>
      <c r="T8">
        <v>0</v>
      </c>
    </row>
    <row r="9" spans="1:20" x14ac:dyDescent="0.25">
      <c r="A9" t="s">
        <v>3</v>
      </c>
      <c r="B9" t="s">
        <v>4</v>
      </c>
      <c r="C9">
        <v>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</v>
      </c>
      <c r="M9">
        <v>572.66999999999996</v>
      </c>
      <c r="N9">
        <v>0</v>
      </c>
      <c r="O9">
        <v>0</v>
      </c>
      <c r="P9">
        <v>572.66999999999996</v>
      </c>
      <c r="Q9" t="s">
        <v>5</v>
      </c>
      <c r="R9">
        <v>5</v>
      </c>
      <c r="S9">
        <v>0</v>
      </c>
      <c r="T9">
        <v>0</v>
      </c>
    </row>
    <row r="10" spans="1:20" x14ac:dyDescent="0.25">
      <c r="A10" t="s">
        <v>6</v>
      </c>
      <c r="B10" t="s">
        <v>7</v>
      </c>
      <c r="C10">
        <v>11</v>
      </c>
      <c r="D10">
        <v>3</v>
      </c>
      <c r="E10">
        <v>0</v>
      </c>
      <c r="F10">
        <v>0</v>
      </c>
      <c r="G10">
        <v>4</v>
      </c>
      <c r="H10">
        <v>1</v>
      </c>
      <c r="I10">
        <v>0</v>
      </c>
      <c r="J10">
        <v>0</v>
      </c>
      <c r="K10">
        <v>0</v>
      </c>
      <c r="L10">
        <v>9</v>
      </c>
      <c r="M10">
        <v>1696.64</v>
      </c>
      <c r="N10">
        <v>462.72</v>
      </c>
      <c r="O10">
        <v>672</v>
      </c>
      <c r="P10">
        <v>1388.16</v>
      </c>
      <c r="Q10" t="s">
        <v>2</v>
      </c>
      <c r="R10">
        <v>5</v>
      </c>
      <c r="S10">
        <v>705.6</v>
      </c>
      <c r="T10">
        <v>176.4</v>
      </c>
    </row>
    <row r="11" spans="1:20" x14ac:dyDescent="0.25">
      <c r="A11" t="s">
        <v>8</v>
      </c>
      <c r="B11" t="s">
        <v>9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</v>
      </c>
      <c r="M11">
        <v>269.86</v>
      </c>
      <c r="N11">
        <v>0</v>
      </c>
      <c r="O11">
        <v>0</v>
      </c>
      <c r="P11">
        <v>269.86</v>
      </c>
      <c r="Q11" t="s">
        <v>10</v>
      </c>
      <c r="R11">
        <v>5</v>
      </c>
      <c r="S11">
        <v>0</v>
      </c>
      <c r="T11">
        <v>0</v>
      </c>
    </row>
    <row r="12" spans="1:20" x14ac:dyDescent="0.25">
      <c r="A12" t="s">
        <v>11</v>
      </c>
      <c r="B12" t="s">
        <v>12</v>
      </c>
      <c r="C12">
        <v>29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29</v>
      </c>
      <c r="M12">
        <v>4926.5200000000004</v>
      </c>
      <c r="N12">
        <v>0</v>
      </c>
      <c r="O12">
        <v>0</v>
      </c>
      <c r="P12">
        <v>4926.5200000000004</v>
      </c>
      <c r="Q12" t="s">
        <v>2</v>
      </c>
      <c r="R12">
        <v>5</v>
      </c>
      <c r="S12">
        <v>0</v>
      </c>
      <c r="T12">
        <v>0</v>
      </c>
    </row>
    <row r="13" spans="1:20" x14ac:dyDescent="0.25">
      <c r="A13" t="s">
        <v>13</v>
      </c>
      <c r="B13" t="s">
        <v>14</v>
      </c>
      <c r="C13">
        <v>38</v>
      </c>
      <c r="D13">
        <v>20</v>
      </c>
      <c r="E13">
        <v>0</v>
      </c>
      <c r="F13">
        <v>0</v>
      </c>
      <c r="G13">
        <v>21</v>
      </c>
      <c r="H13">
        <v>1</v>
      </c>
      <c r="I13">
        <v>0</v>
      </c>
      <c r="J13">
        <v>0</v>
      </c>
      <c r="K13">
        <v>0</v>
      </c>
      <c r="L13">
        <v>36</v>
      </c>
      <c r="M13">
        <v>6549.3</v>
      </c>
      <c r="N13">
        <v>3447</v>
      </c>
      <c r="O13">
        <v>4227.72</v>
      </c>
      <c r="P13">
        <v>6204.6</v>
      </c>
      <c r="Q13" t="s">
        <v>15</v>
      </c>
      <c r="R13">
        <v>5</v>
      </c>
      <c r="S13">
        <v>4439.1099999999997</v>
      </c>
      <c r="T13">
        <v>211.39</v>
      </c>
    </row>
    <row r="14" spans="1:20" x14ac:dyDescent="0.25">
      <c r="A14" t="s">
        <v>16</v>
      </c>
      <c r="B14" t="s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10</v>
      </c>
      <c r="R14">
        <v>5</v>
      </c>
      <c r="S14">
        <v>0</v>
      </c>
      <c r="T14">
        <v>0</v>
      </c>
    </row>
    <row r="15" spans="1:20" x14ac:dyDescent="0.25">
      <c r="A15" t="s">
        <v>17</v>
      </c>
      <c r="B15" t="s">
        <v>12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2</v>
      </c>
      <c r="R15">
        <v>5</v>
      </c>
      <c r="S15">
        <v>0</v>
      </c>
      <c r="T15">
        <v>0</v>
      </c>
    </row>
    <row r="16" spans="1:20" x14ac:dyDescent="0.25">
      <c r="A16" t="s">
        <v>18</v>
      </c>
      <c r="B16" t="s">
        <v>19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96.64</v>
      </c>
      <c r="N16">
        <v>0</v>
      </c>
      <c r="O16">
        <v>0</v>
      </c>
      <c r="P16">
        <v>96.64</v>
      </c>
      <c r="Q16" t="s">
        <v>5</v>
      </c>
      <c r="R16">
        <v>28</v>
      </c>
      <c r="S16">
        <v>0</v>
      </c>
      <c r="T16">
        <v>0</v>
      </c>
    </row>
    <row r="17" spans="1:20" x14ac:dyDescent="0.25">
      <c r="A17" t="s">
        <v>20</v>
      </c>
      <c r="B17" t="s">
        <v>21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5</v>
      </c>
      <c r="R17">
        <v>28</v>
      </c>
      <c r="S17">
        <v>0</v>
      </c>
      <c r="T17">
        <v>0</v>
      </c>
    </row>
    <row r="18" spans="1:20" x14ac:dyDescent="0.25">
      <c r="A18" t="s">
        <v>22</v>
      </c>
      <c r="B18" t="s">
        <v>23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5</v>
      </c>
      <c r="R18">
        <v>28</v>
      </c>
      <c r="S18">
        <v>0</v>
      </c>
      <c r="T18">
        <v>0</v>
      </c>
    </row>
    <row r="19" spans="1:20" x14ac:dyDescent="0.25">
      <c r="A19" t="s">
        <v>24</v>
      </c>
      <c r="B19" t="s">
        <v>23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5</v>
      </c>
      <c r="R19">
        <v>28</v>
      </c>
      <c r="S19">
        <v>0</v>
      </c>
      <c r="T19">
        <v>0</v>
      </c>
    </row>
    <row r="20" spans="1:20" x14ac:dyDescent="0.25">
      <c r="A20" t="s">
        <v>25</v>
      </c>
      <c r="B20" t="s">
        <v>12</v>
      </c>
      <c r="C20">
        <v>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</v>
      </c>
      <c r="M20">
        <v>180.04</v>
      </c>
      <c r="N20">
        <v>0</v>
      </c>
      <c r="O20">
        <v>0</v>
      </c>
      <c r="P20">
        <v>180.04</v>
      </c>
      <c r="Q20" t="s">
        <v>2</v>
      </c>
      <c r="R20">
        <v>5</v>
      </c>
      <c r="S20">
        <v>0</v>
      </c>
      <c r="T20">
        <v>0</v>
      </c>
    </row>
    <row r="21" spans="1:20" x14ac:dyDescent="0.25">
      <c r="A21" t="s">
        <v>26</v>
      </c>
      <c r="B21" t="s">
        <v>27</v>
      </c>
      <c r="C21">
        <v>56</v>
      </c>
      <c r="D21">
        <v>0</v>
      </c>
      <c r="E21">
        <v>0</v>
      </c>
      <c r="F21">
        <v>0</v>
      </c>
      <c r="G21">
        <v>10</v>
      </c>
      <c r="H21">
        <v>0</v>
      </c>
      <c r="I21">
        <v>0</v>
      </c>
      <c r="J21">
        <v>0</v>
      </c>
      <c r="K21">
        <v>0</v>
      </c>
      <c r="L21">
        <v>46</v>
      </c>
      <c r="M21">
        <v>9720.48</v>
      </c>
      <c r="N21">
        <v>0</v>
      </c>
      <c r="O21">
        <v>1970</v>
      </c>
      <c r="P21">
        <v>7984.68</v>
      </c>
      <c r="Q21" t="s">
        <v>2</v>
      </c>
      <c r="R21">
        <v>5</v>
      </c>
      <c r="S21">
        <v>2068.5</v>
      </c>
      <c r="T21">
        <v>0</v>
      </c>
    </row>
    <row r="22" spans="1:20" x14ac:dyDescent="0.25">
      <c r="A22" t="s">
        <v>28</v>
      </c>
      <c r="B22" t="s">
        <v>29</v>
      </c>
      <c r="C22">
        <v>2</v>
      </c>
      <c r="D22">
        <v>10</v>
      </c>
      <c r="E22">
        <v>0</v>
      </c>
      <c r="F22">
        <v>0</v>
      </c>
      <c r="G22">
        <v>4</v>
      </c>
      <c r="H22">
        <v>0</v>
      </c>
      <c r="I22">
        <v>0</v>
      </c>
      <c r="J22">
        <v>0</v>
      </c>
      <c r="K22">
        <v>0</v>
      </c>
      <c r="L22">
        <v>8</v>
      </c>
      <c r="M22">
        <v>117.82</v>
      </c>
      <c r="N22">
        <v>589.1</v>
      </c>
      <c r="O22">
        <v>256.12</v>
      </c>
      <c r="P22">
        <v>471.28</v>
      </c>
      <c r="Q22" t="s">
        <v>2</v>
      </c>
      <c r="R22">
        <v>5</v>
      </c>
      <c r="S22">
        <v>268.93</v>
      </c>
      <c r="T22">
        <v>0</v>
      </c>
    </row>
    <row r="23" spans="1:20" x14ac:dyDescent="0.25">
      <c r="A23" t="s">
        <v>30</v>
      </c>
      <c r="B23" t="s">
        <v>12</v>
      </c>
      <c r="C23">
        <v>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</v>
      </c>
      <c r="M23">
        <v>327.16000000000003</v>
      </c>
      <c r="N23">
        <v>0</v>
      </c>
      <c r="O23">
        <v>0</v>
      </c>
      <c r="P23">
        <v>327.16000000000003</v>
      </c>
      <c r="Q23" t="s">
        <v>2</v>
      </c>
      <c r="R23">
        <v>5</v>
      </c>
      <c r="S23">
        <v>0</v>
      </c>
      <c r="T23">
        <v>0</v>
      </c>
    </row>
    <row r="24" spans="1:20" x14ac:dyDescent="0.25">
      <c r="A24" t="s">
        <v>31</v>
      </c>
      <c r="B24" t="s">
        <v>32</v>
      </c>
      <c r="C24">
        <v>2</v>
      </c>
      <c r="D24">
        <v>10</v>
      </c>
      <c r="E24">
        <v>0</v>
      </c>
      <c r="F24">
        <v>0</v>
      </c>
      <c r="G24">
        <v>7</v>
      </c>
      <c r="H24">
        <v>1</v>
      </c>
      <c r="I24">
        <v>0</v>
      </c>
      <c r="J24">
        <v>0</v>
      </c>
      <c r="K24">
        <v>0</v>
      </c>
      <c r="L24">
        <v>4</v>
      </c>
      <c r="M24">
        <v>288.27999999999997</v>
      </c>
      <c r="N24">
        <v>1441.4</v>
      </c>
      <c r="O24">
        <v>1148</v>
      </c>
      <c r="P24">
        <v>576.55999999999995</v>
      </c>
      <c r="Q24" t="s">
        <v>10</v>
      </c>
      <c r="R24">
        <v>5</v>
      </c>
      <c r="S24">
        <v>1205.4000000000001</v>
      </c>
      <c r="T24">
        <v>172.2</v>
      </c>
    </row>
    <row r="25" spans="1:20" x14ac:dyDescent="0.25">
      <c r="A25" t="s">
        <v>33</v>
      </c>
      <c r="B25" t="s">
        <v>1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</v>
      </c>
      <c r="M25">
        <v>97.9</v>
      </c>
      <c r="N25">
        <v>0</v>
      </c>
      <c r="O25">
        <v>0</v>
      </c>
      <c r="P25">
        <v>97.9</v>
      </c>
      <c r="Q25" t="s">
        <v>2</v>
      </c>
      <c r="R25">
        <v>5</v>
      </c>
      <c r="S25">
        <v>0</v>
      </c>
      <c r="T25">
        <v>0</v>
      </c>
    </row>
    <row r="26" spans="1:20" x14ac:dyDescent="0.25">
      <c r="A26" t="s">
        <v>34</v>
      </c>
      <c r="B26" t="s">
        <v>7</v>
      </c>
      <c r="C26">
        <v>8</v>
      </c>
      <c r="D26">
        <v>0</v>
      </c>
      <c r="E26">
        <v>0</v>
      </c>
      <c r="F26">
        <v>0</v>
      </c>
      <c r="G26">
        <v>4</v>
      </c>
      <c r="H26">
        <v>0</v>
      </c>
      <c r="I26">
        <v>0</v>
      </c>
      <c r="J26">
        <v>0</v>
      </c>
      <c r="K26">
        <v>0</v>
      </c>
      <c r="L26">
        <v>4</v>
      </c>
      <c r="M26">
        <v>1390.96</v>
      </c>
      <c r="N26">
        <v>0</v>
      </c>
      <c r="O26">
        <v>756</v>
      </c>
      <c r="P26">
        <v>695.48</v>
      </c>
      <c r="Q26" t="s">
        <v>2</v>
      </c>
      <c r="R26">
        <v>5</v>
      </c>
      <c r="S26">
        <v>793.8</v>
      </c>
      <c r="T26">
        <v>0</v>
      </c>
    </row>
    <row r="27" spans="1:20" x14ac:dyDescent="0.25">
      <c r="A27" t="s">
        <v>35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</v>
      </c>
      <c r="R27">
        <v>5</v>
      </c>
      <c r="S27">
        <v>0</v>
      </c>
      <c r="T27">
        <v>0</v>
      </c>
    </row>
    <row r="28" spans="1:20" x14ac:dyDescent="0.25">
      <c r="A28" t="s">
        <v>36</v>
      </c>
      <c r="B28" t="s">
        <v>27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47.96</v>
      </c>
      <c r="N28">
        <v>0</v>
      </c>
      <c r="O28">
        <v>0</v>
      </c>
      <c r="P28">
        <v>47.96</v>
      </c>
      <c r="Q28" t="s">
        <v>2</v>
      </c>
      <c r="R28">
        <v>5</v>
      </c>
      <c r="S28">
        <v>0</v>
      </c>
      <c r="T28">
        <v>0</v>
      </c>
    </row>
    <row r="29" spans="1:20" x14ac:dyDescent="0.25">
      <c r="A29" t="s">
        <v>37</v>
      </c>
      <c r="B29" t="s">
        <v>27</v>
      </c>
      <c r="C29">
        <v>20</v>
      </c>
      <c r="D29">
        <v>0</v>
      </c>
      <c r="E29">
        <v>0</v>
      </c>
      <c r="F29">
        <v>0</v>
      </c>
      <c r="G29">
        <v>7</v>
      </c>
      <c r="H29">
        <v>0</v>
      </c>
      <c r="I29">
        <v>0</v>
      </c>
      <c r="J29">
        <v>0</v>
      </c>
      <c r="K29">
        <v>0</v>
      </c>
      <c r="L29">
        <v>13</v>
      </c>
      <c r="M29">
        <v>2593.6</v>
      </c>
      <c r="N29">
        <v>0</v>
      </c>
      <c r="O29">
        <v>1029</v>
      </c>
      <c r="P29">
        <v>1685.84</v>
      </c>
      <c r="Q29" t="s">
        <v>10</v>
      </c>
      <c r="R29">
        <v>5</v>
      </c>
      <c r="S29">
        <v>1080.45</v>
      </c>
      <c r="T29">
        <v>0</v>
      </c>
    </row>
    <row r="30" spans="1:20" x14ac:dyDescent="0.25">
      <c r="A30" t="s">
        <v>38</v>
      </c>
      <c r="B30" t="s">
        <v>39</v>
      </c>
      <c r="C30">
        <v>67</v>
      </c>
      <c r="D30">
        <v>0</v>
      </c>
      <c r="E30">
        <v>0</v>
      </c>
      <c r="F30">
        <v>0</v>
      </c>
      <c r="G30">
        <v>9</v>
      </c>
      <c r="H30">
        <v>0</v>
      </c>
      <c r="I30">
        <v>0</v>
      </c>
      <c r="J30">
        <v>0</v>
      </c>
      <c r="K30">
        <v>0</v>
      </c>
      <c r="L30">
        <v>58</v>
      </c>
      <c r="M30">
        <v>7248.73</v>
      </c>
      <c r="N30">
        <v>0</v>
      </c>
      <c r="O30">
        <v>1098.9000000000001</v>
      </c>
      <c r="P30">
        <v>6275.02</v>
      </c>
      <c r="Q30" t="s">
        <v>5</v>
      </c>
      <c r="R30">
        <v>18</v>
      </c>
      <c r="S30">
        <v>1296.7</v>
      </c>
      <c r="T30">
        <v>0</v>
      </c>
    </row>
    <row r="31" spans="1:20" x14ac:dyDescent="0.25">
      <c r="A31" t="s">
        <v>40</v>
      </c>
      <c r="B31" t="s">
        <v>41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5</v>
      </c>
      <c r="R31">
        <v>5</v>
      </c>
      <c r="S31">
        <v>0</v>
      </c>
      <c r="T31">
        <v>0</v>
      </c>
    </row>
    <row r="32" spans="1:20" x14ac:dyDescent="0.25">
      <c r="A32" t="s">
        <v>42</v>
      </c>
      <c r="B32" t="s">
        <v>9</v>
      </c>
      <c r="C32">
        <v>57</v>
      </c>
      <c r="D32">
        <v>0</v>
      </c>
      <c r="E32">
        <v>0</v>
      </c>
      <c r="F32">
        <v>0</v>
      </c>
      <c r="G32">
        <v>8</v>
      </c>
      <c r="H32">
        <v>0</v>
      </c>
      <c r="I32">
        <v>0</v>
      </c>
      <c r="J32">
        <v>0</v>
      </c>
      <c r="K32">
        <v>0</v>
      </c>
      <c r="L32">
        <v>49</v>
      </c>
      <c r="M32">
        <v>5102.6400000000003</v>
      </c>
      <c r="N32">
        <v>0</v>
      </c>
      <c r="O32">
        <v>1488</v>
      </c>
      <c r="P32">
        <v>4386.4799999999996</v>
      </c>
      <c r="Q32" t="s">
        <v>10</v>
      </c>
      <c r="R32">
        <v>5</v>
      </c>
      <c r="S32">
        <v>1562.4</v>
      </c>
      <c r="T32">
        <v>0</v>
      </c>
    </row>
    <row r="33" spans="1:20" x14ac:dyDescent="0.25">
      <c r="A33" t="s">
        <v>43</v>
      </c>
      <c r="B33" t="s">
        <v>44</v>
      </c>
      <c r="C33">
        <v>21</v>
      </c>
      <c r="D33">
        <v>56</v>
      </c>
      <c r="E33">
        <v>0</v>
      </c>
      <c r="F33">
        <v>0</v>
      </c>
      <c r="G33">
        <v>12</v>
      </c>
      <c r="H33">
        <v>0</v>
      </c>
      <c r="I33">
        <v>0</v>
      </c>
      <c r="J33">
        <v>0</v>
      </c>
      <c r="K33">
        <v>0</v>
      </c>
      <c r="L33">
        <v>65</v>
      </c>
      <c r="M33">
        <v>2255.19</v>
      </c>
      <c r="N33">
        <v>6013.84</v>
      </c>
      <c r="O33">
        <v>1453.68</v>
      </c>
      <c r="P33">
        <v>6980.35</v>
      </c>
      <c r="Q33" t="s">
        <v>10</v>
      </c>
      <c r="R33">
        <v>5</v>
      </c>
      <c r="S33">
        <v>1526.36</v>
      </c>
      <c r="T33">
        <v>0</v>
      </c>
    </row>
    <row r="34" spans="1:20" x14ac:dyDescent="0.25">
      <c r="A34" t="s">
        <v>45</v>
      </c>
      <c r="B34" t="s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</v>
      </c>
      <c r="R34">
        <v>5</v>
      </c>
      <c r="S34">
        <v>0</v>
      </c>
      <c r="T34">
        <v>0</v>
      </c>
    </row>
    <row r="35" spans="1:20" x14ac:dyDescent="0.25">
      <c r="A35" t="s">
        <v>46</v>
      </c>
      <c r="B35" t="s">
        <v>32</v>
      </c>
      <c r="C35">
        <v>24</v>
      </c>
      <c r="D35">
        <v>0</v>
      </c>
      <c r="E35">
        <v>0</v>
      </c>
      <c r="F35">
        <v>0</v>
      </c>
      <c r="G35">
        <v>8</v>
      </c>
      <c r="H35">
        <v>0</v>
      </c>
      <c r="I35">
        <v>0</v>
      </c>
      <c r="J35">
        <v>0</v>
      </c>
      <c r="K35">
        <v>0</v>
      </c>
      <c r="L35">
        <v>16</v>
      </c>
      <c r="M35">
        <v>4392.96</v>
      </c>
      <c r="N35">
        <v>0</v>
      </c>
      <c r="O35">
        <v>1651.84</v>
      </c>
      <c r="P35">
        <v>2928.64</v>
      </c>
      <c r="Q35" t="s">
        <v>2</v>
      </c>
      <c r="R35">
        <v>5</v>
      </c>
      <c r="S35">
        <v>1734.43</v>
      </c>
      <c r="T35">
        <v>0</v>
      </c>
    </row>
    <row r="36" spans="1:20" x14ac:dyDescent="0.25">
      <c r="A36" t="s">
        <v>47</v>
      </c>
      <c r="B36" t="s">
        <v>9</v>
      </c>
      <c r="C36">
        <v>75</v>
      </c>
      <c r="D36">
        <v>0</v>
      </c>
      <c r="E36">
        <v>0</v>
      </c>
      <c r="F36">
        <v>0</v>
      </c>
      <c r="G36">
        <v>48</v>
      </c>
      <c r="H36">
        <v>0</v>
      </c>
      <c r="I36">
        <v>0</v>
      </c>
      <c r="J36">
        <v>0</v>
      </c>
      <c r="K36">
        <v>0</v>
      </c>
      <c r="L36">
        <v>27</v>
      </c>
      <c r="M36">
        <v>12309.75</v>
      </c>
      <c r="N36">
        <v>0</v>
      </c>
      <c r="O36">
        <v>8928</v>
      </c>
      <c r="P36">
        <v>4431.51</v>
      </c>
      <c r="Q36" t="s">
        <v>10</v>
      </c>
      <c r="R36">
        <v>5</v>
      </c>
      <c r="S36">
        <v>9374.4</v>
      </c>
      <c r="T36">
        <v>0</v>
      </c>
    </row>
    <row r="37" spans="1:20" x14ac:dyDescent="0.25">
      <c r="A37" t="s">
        <v>48</v>
      </c>
      <c r="B37" t="s">
        <v>9</v>
      </c>
      <c r="C37">
        <v>10</v>
      </c>
      <c r="D37">
        <v>5</v>
      </c>
      <c r="E37">
        <v>0</v>
      </c>
      <c r="F37">
        <v>0</v>
      </c>
      <c r="G37">
        <v>4</v>
      </c>
      <c r="H37">
        <v>0</v>
      </c>
      <c r="I37">
        <v>0</v>
      </c>
      <c r="J37">
        <v>0</v>
      </c>
      <c r="K37">
        <v>0</v>
      </c>
      <c r="L37">
        <v>11</v>
      </c>
      <c r="M37">
        <v>2005.6</v>
      </c>
      <c r="N37">
        <v>1002.8</v>
      </c>
      <c r="O37">
        <v>872</v>
      </c>
      <c r="P37">
        <v>2206.16</v>
      </c>
      <c r="Q37" t="s">
        <v>2</v>
      </c>
      <c r="R37">
        <v>5</v>
      </c>
      <c r="S37">
        <v>915.6</v>
      </c>
      <c r="T37">
        <v>0</v>
      </c>
    </row>
    <row r="38" spans="1:20" x14ac:dyDescent="0.25">
      <c r="A38" t="s">
        <v>49</v>
      </c>
      <c r="B38" t="s">
        <v>9</v>
      </c>
      <c r="C38">
        <v>61</v>
      </c>
      <c r="D38">
        <v>0</v>
      </c>
      <c r="E38">
        <v>0</v>
      </c>
      <c r="F38">
        <v>0</v>
      </c>
      <c r="G38">
        <v>4</v>
      </c>
      <c r="H38">
        <v>0</v>
      </c>
      <c r="I38">
        <v>0</v>
      </c>
      <c r="J38">
        <v>0</v>
      </c>
      <c r="K38">
        <v>0</v>
      </c>
      <c r="L38">
        <v>57</v>
      </c>
      <c r="M38">
        <v>6134.16</v>
      </c>
      <c r="N38">
        <v>0</v>
      </c>
      <c r="O38">
        <v>453.72</v>
      </c>
      <c r="P38">
        <v>5731.92</v>
      </c>
      <c r="Q38" t="s">
        <v>2</v>
      </c>
      <c r="R38">
        <v>5</v>
      </c>
      <c r="S38">
        <v>476.41</v>
      </c>
      <c r="T38">
        <v>0</v>
      </c>
    </row>
    <row r="39" spans="1:20" x14ac:dyDescent="0.25">
      <c r="A39" t="s">
        <v>50</v>
      </c>
      <c r="B39" t="s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</v>
      </c>
      <c r="R39">
        <v>5</v>
      </c>
      <c r="S39">
        <v>0</v>
      </c>
      <c r="T39">
        <v>0</v>
      </c>
    </row>
    <row r="40" spans="1:20" x14ac:dyDescent="0.25">
      <c r="A40" t="s">
        <v>51</v>
      </c>
      <c r="B40" t="s">
        <v>52</v>
      </c>
      <c r="C40">
        <v>16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16</v>
      </c>
      <c r="M40">
        <v>1024</v>
      </c>
      <c r="N40">
        <v>0</v>
      </c>
      <c r="O40">
        <v>0</v>
      </c>
      <c r="P40">
        <v>1024</v>
      </c>
      <c r="Q40" t="s">
        <v>2</v>
      </c>
      <c r="R40">
        <v>5</v>
      </c>
      <c r="S40">
        <v>0</v>
      </c>
      <c r="T40">
        <v>0</v>
      </c>
    </row>
    <row r="41" spans="1:20" x14ac:dyDescent="0.25">
      <c r="A41" t="s">
        <v>53</v>
      </c>
      <c r="B41" t="s">
        <v>54</v>
      </c>
      <c r="C4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</v>
      </c>
      <c r="M41">
        <v>275.49</v>
      </c>
      <c r="N41">
        <v>0</v>
      </c>
      <c r="O41">
        <v>0</v>
      </c>
      <c r="P41">
        <v>275.49</v>
      </c>
      <c r="Q41" t="s">
        <v>2</v>
      </c>
      <c r="R41">
        <v>5</v>
      </c>
      <c r="S41">
        <v>0</v>
      </c>
      <c r="T41">
        <v>0</v>
      </c>
    </row>
    <row r="42" spans="1:20" x14ac:dyDescent="0.25">
      <c r="A42" t="s">
        <v>55</v>
      </c>
      <c r="B42" t="s">
        <v>56</v>
      </c>
      <c r="C42">
        <v>65</v>
      </c>
      <c r="D42">
        <v>0</v>
      </c>
      <c r="E42">
        <v>0</v>
      </c>
      <c r="F42">
        <v>0</v>
      </c>
      <c r="G42">
        <v>29</v>
      </c>
      <c r="H42">
        <v>0</v>
      </c>
      <c r="I42">
        <v>0</v>
      </c>
      <c r="J42">
        <v>0</v>
      </c>
      <c r="K42">
        <v>0</v>
      </c>
      <c r="L42">
        <v>36</v>
      </c>
      <c r="M42">
        <v>6026.8</v>
      </c>
      <c r="N42">
        <v>0</v>
      </c>
      <c r="O42">
        <v>5369.06</v>
      </c>
      <c r="P42">
        <v>3337.92</v>
      </c>
      <c r="Q42" t="s">
        <v>10</v>
      </c>
      <c r="R42">
        <v>5</v>
      </c>
      <c r="S42">
        <v>5637.51</v>
      </c>
      <c r="T42">
        <v>0</v>
      </c>
    </row>
    <row r="43" spans="1:20" x14ac:dyDescent="0.25">
      <c r="A43" t="s">
        <v>57</v>
      </c>
      <c r="B43" t="s">
        <v>32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</v>
      </c>
      <c r="R43">
        <v>5</v>
      </c>
      <c r="S43">
        <v>0</v>
      </c>
      <c r="T43">
        <v>0</v>
      </c>
    </row>
    <row r="44" spans="1:20" x14ac:dyDescent="0.25">
      <c r="A44" t="s">
        <v>58</v>
      </c>
      <c r="B44" t="s">
        <v>59</v>
      </c>
      <c r="C44">
        <v>12</v>
      </c>
      <c r="D44">
        <v>84</v>
      </c>
      <c r="E44">
        <v>0</v>
      </c>
      <c r="F44">
        <v>0</v>
      </c>
      <c r="G44">
        <v>12</v>
      </c>
      <c r="H44">
        <v>0</v>
      </c>
      <c r="I44">
        <v>0</v>
      </c>
      <c r="J44">
        <v>0</v>
      </c>
      <c r="K44">
        <v>0</v>
      </c>
      <c r="L44">
        <v>84</v>
      </c>
      <c r="M44">
        <v>778.08</v>
      </c>
      <c r="N44">
        <v>5446.56</v>
      </c>
      <c r="O44">
        <v>877.68</v>
      </c>
      <c r="P44">
        <v>5446.56</v>
      </c>
      <c r="Q44" t="s">
        <v>60</v>
      </c>
      <c r="R44">
        <v>5</v>
      </c>
      <c r="S44">
        <v>921.56</v>
      </c>
      <c r="T44">
        <v>0</v>
      </c>
    </row>
    <row r="45" spans="1:20" x14ac:dyDescent="0.25">
      <c r="A45" t="s">
        <v>61</v>
      </c>
      <c r="B45" t="s">
        <v>62</v>
      </c>
      <c r="C45">
        <v>15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15</v>
      </c>
      <c r="M45">
        <v>1276.2</v>
      </c>
      <c r="N45">
        <v>0</v>
      </c>
      <c r="O45">
        <v>0</v>
      </c>
      <c r="P45">
        <v>1276.2</v>
      </c>
      <c r="Q45" t="s">
        <v>2</v>
      </c>
      <c r="R45">
        <v>5</v>
      </c>
      <c r="S45">
        <v>0</v>
      </c>
      <c r="T45">
        <v>0</v>
      </c>
    </row>
    <row r="46" spans="1:20" x14ac:dyDescent="0.25">
      <c r="A46" t="s">
        <v>61</v>
      </c>
      <c r="B46" t="s">
        <v>32</v>
      </c>
      <c r="C46">
        <v>24</v>
      </c>
      <c r="D46">
        <v>56</v>
      </c>
      <c r="E46">
        <v>0</v>
      </c>
      <c r="F46">
        <v>0</v>
      </c>
      <c r="G46">
        <v>23</v>
      </c>
      <c r="H46">
        <v>0</v>
      </c>
      <c r="I46">
        <v>0</v>
      </c>
      <c r="J46">
        <v>0</v>
      </c>
      <c r="K46">
        <v>0</v>
      </c>
      <c r="L46">
        <v>57</v>
      </c>
      <c r="M46">
        <v>3485.04</v>
      </c>
      <c r="N46">
        <v>8131.76</v>
      </c>
      <c r="O46">
        <v>3772</v>
      </c>
      <c r="P46">
        <v>8276.9699999999993</v>
      </c>
      <c r="Q46" t="s">
        <v>2</v>
      </c>
      <c r="R46">
        <v>5</v>
      </c>
      <c r="S46">
        <v>3960.6</v>
      </c>
      <c r="T46">
        <v>0</v>
      </c>
    </row>
    <row r="47" spans="1:20" x14ac:dyDescent="0.25">
      <c r="A47" t="s">
        <v>63</v>
      </c>
      <c r="B47" t="s">
        <v>64</v>
      </c>
      <c r="C47">
        <v>43</v>
      </c>
      <c r="D47">
        <v>100</v>
      </c>
      <c r="E47">
        <v>0</v>
      </c>
      <c r="F47">
        <v>0</v>
      </c>
      <c r="G47">
        <v>48</v>
      </c>
      <c r="H47">
        <v>2</v>
      </c>
      <c r="I47">
        <v>0</v>
      </c>
      <c r="J47">
        <v>0</v>
      </c>
      <c r="K47">
        <v>0</v>
      </c>
      <c r="L47">
        <v>93</v>
      </c>
      <c r="M47">
        <v>5983.02</v>
      </c>
      <c r="N47">
        <v>13914</v>
      </c>
      <c r="O47">
        <v>7536</v>
      </c>
      <c r="P47">
        <v>12940.02</v>
      </c>
      <c r="Q47" t="s">
        <v>10</v>
      </c>
      <c r="R47">
        <v>5</v>
      </c>
      <c r="S47">
        <v>7912.8</v>
      </c>
      <c r="T47">
        <v>329.7</v>
      </c>
    </row>
    <row r="48" spans="1:20" x14ac:dyDescent="0.25">
      <c r="A48" t="s">
        <v>65</v>
      </c>
      <c r="B48" t="s">
        <v>66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5</v>
      </c>
      <c r="R48">
        <v>28</v>
      </c>
      <c r="S48">
        <v>0</v>
      </c>
      <c r="T48">
        <v>0</v>
      </c>
    </row>
    <row r="49" spans="1:20" x14ac:dyDescent="0.25">
      <c r="A49" t="s">
        <v>65</v>
      </c>
      <c r="B49" t="s">
        <v>67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68</v>
      </c>
      <c r="R49">
        <v>5</v>
      </c>
      <c r="S49">
        <v>0</v>
      </c>
      <c r="T49">
        <v>0</v>
      </c>
    </row>
    <row r="50" spans="1:20" x14ac:dyDescent="0.25">
      <c r="A50" t="s">
        <v>69</v>
      </c>
      <c r="B50" t="s">
        <v>70</v>
      </c>
      <c r="C50">
        <v>16</v>
      </c>
      <c r="D50">
        <v>0</v>
      </c>
      <c r="E50">
        <v>0</v>
      </c>
      <c r="F50">
        <v>0</v>
      </c>
      <c r="G50">
        <v>7</v>
      </c>
      <c r="H50">
        <v>0</v>
      </c>
      <c r="I50">
        <v>0</v>
      </c>
      <c r="J50">
        <v>0</v>
      </c>
      <c r="K50">
        <v>0</v>
      </c>
      <c r="L50">
        <v>9</v>
      </c>
      <c r="M50">
        <v>824.48</v>
      </c>
      <c r="N50">
        <v>0</v>
      </c>
      <c r="O50">
        <v>413.42</v>
      </c>
      <c r="P50">
        <v>463.77</v>
      </c>
      <c r="Q50" t="s">
        <v>71</v>
      </c>
      <c r="R50">
        <v>18</v>
      </c>
      <c r="S50">
        <v>487.84</v>
      </c>
      <c r="T50">
        <v>0</v>
      </c>
    </row>
    <row r="51" spans="1:20" x14ac:dyDescent="0.25">
      <c r="A51" t="s">
        <v>72</v>
      </c>
      <c r="B51" t="s">
        <v>73</v>
      </c>
      <c r="C51">
        <v>72</v>
      </c>
      <c r="D51">
        <v>0</v>
      </c>
      <c r="E51">
        <v>0</v>
      </c>
      <c r="F51">
        <v>0</v>
      </c>
      <c r="G51">
        <v>29</v>
      </c>
      <c r="H51">
        <v>0</v>
      </c>
      <c r="I51">
        <v>0</v>
      </c>
      <c r="J51">
        <v>0</v>
      </c>
      <c r="K51">
        <v>0</v>
      </c>
      <c r="L51">
        <v>43</v>
      </c>
      <c r="M51">
        <v>4518</v>
      </c>
      <c r="N51">
        <v>0</v>
      </c>
      <c r="O51">
        <v>2115.7199999999998</v>
      </c>
      <c r="P51">
        <v>2698.25</v>
      </c>
      <c r="Q51" t="s">
        <v>68</v>
      </c>
      <c r="R51">
        <v>18</v>
      </c>
      <c r="S51">
        <v>2496.69</v>
      </c>
      <c r="T51">
        <v>0</v>
      </c>
    </row>
    <row r="52" spans="1:20" x14ac:dyDescent="0.25">
      <c r="A52" t="s">
        <v>74</v>
      </c>
      <c r="B52" t="s">
        <v>21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</v>
      </c>
      <c r="M52">
        <v>187.92</v>
      </c>
      <c r="N52">
        <v>0</v>
      </c>
      <c r="O52">
        <v>0</v>
      </c>
      <c r="P52">
        <v>187.92</v>
      </c>
      <c r="Q52" t="s">
        <v>5</v>
      </c>
      <c r="R52">
        <v>5</v>
      </c>
      <c r="S52">
        <v>0</v>
      </c>
      <c r="T52">
        <v>0</v>
      </c>
    </row>
    <row r="53" spans="1:20" x14ac:dyDescent="0.25">
      <c r="A53" t="s">
        <v>75</v>
      </c>
      <c r="B53" t="s">
        <v>76</v>
      </c>
      <c r="C53">
        <v>12</v>
      </c>
      <c r="D53">
        <v>0</v>
      </c>
      <c r="E53">
        <v>0</v>
      </c>
      <c r="F53">
        <v>0</v>
      </c>
      <c r="G53">
        <v>2</v>
      </c>
      <c r="H53">
        <v>0</v>
      </c>
      <c r="I53">
        <v>0</v>
      </c>
      <c r="J53">
        <v>0</v>
      </c>
      <c r="K53">
        <v>0</v>
      </c>
      <c r="L53">
        <v>10</v>
      </c>
      <c r="M53">
        <v>1384.32</v>
      </c>
      <c r="N53">
        <v>0</v>
      </c>
      <c r="O53">
        <v>252</v>
      </c>
      <c r="P53">
        <v>1153.5999999999999</v>
      </c>
      <c r="Q53" t="s">
        <v>2</v>
      </c>
      <c r="R53">
        <v>5</v>
      </c>
      <c r="S53">
        <v>264.60000000000002</v>
      </c>
      <c r="T53">
        <v>0</v>
      </c>
    </row>
    <row r="54" spans="1:20" x14ac:dyDescent="0.25">
      <c r="A54" t="s">
        <v>77</v>
      </c>
      <c r="B54" t="s">
        <v>32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107.53</v>
      </c>
      <c r="N54">
        <v>0</v>
      </c>
      <c r="O54">
        <v>0</v>
      </c>
      <c r="P54">
        <v>107.53</v>
      </c>
      <c r="Q54" t="s">
        <v>2</v>
      </c>
      <c r="R54">
        <v>5</v>
      </c>
      <c r="S54">
        <v>0</v>
      </c>
      <c r="T54">
        <v>0</v>
      </c>
    </row>
    <row r="55" spans="1:20" x14ac:dyDescent="0.25">
      <c r="A55" t="s">
        <v>78</v>
      </c>
      <c r="B55" t="s">
        <v>12</v>
      </c>
      <c r="C55">
        <v>11</v>
      </c>
      <c r="D55">
        <v>10</v>
      </c>
      <c r="E55">
        <v>0</v>
      </c>
      <c r="F55">
        <v>0</v>
      </c>
      <c r="G55">
        <v>8</v>
      </c>
      <c r="H55">
        <v>0</v>
      </c>
      <c r="I55">
        <v>0</v>
      </c>
      <c r="J55">
        <v>0</v>
      </c>
      <c r="K55">
        <v>0</v>
      </c>
      <c r="L55">
        <v>13</v>
      </c>
      <c r="M55">
        <v>1982.09</v>
      </c>
      <c r="N55">
        <v>1801.9</v>
      </c>
      <c r="O55">
        <v>1563</v>
      </c>
      <c r="P55">
        <v>2342.4699999999998</v>
      </c>
      <c r="Q55" t="s">
        <v>2</v>
      </c>
      <c r="R55">
        <v>5</v>
      </c>
      <c r="S55">
        <v>1764</v>
      </c>
      <c r="T55">
        <v>0</v>
      </c>
    </row>
    <row r="56" spans="1:20" x14ac:dyDescent="0.25">
      <c r="A56" t="s">
        <v>79</v>
      </c>
      <c r="B56" t="s">
        <v>12</v>
      </c>
      <c r="C56">
        <v>23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22</v>
      </c>
      <c r="M56">
        <v>3747.39</v>
      </c>
      <c r="N56">
        <v>0</v>
      </c>
      <c r="O56">
        <v>182.86</v>
      </c>
      <c r="P56">
        <v>3584.46</v>
      </c>
      <c r="Q56" t="s">
        <v>2</v>
      </c>
      <c r="R56">
        <v>5</v>
      </c>
      <c r="S56">
        <v>192</v>
      </c>
      <c r="T56">
        <v>0</v>
      </c>
    </row>
    <row r="57" spans="1:20" x14ac:dyDescent="0.25">
      <c r="A57" t="s">
        <v>80</v>
      </c>
      <c r="B57" t="s">
        <v>12</v>
      </c>
      <c r="C57">
        <v>7</v>
      </c>
      <c r="D57">
        <v>0</v>
      </c>
      <c r="E57">
        <v>0</v>
      </c>
      <c r="F57">
        <v>0</v>
      </c>
      <c r="G57">
        <v>6</v>
      </c>
      <c r="H57">
        <v>1</v>
      </c>
      <c r="I57">
        <v>0</v>
      </c>
      <c r="J57">
        <v>0</v>
      </c>
      <c r="K57">
        <v>0</v>
      </c>
      <c r="L57">
        <v>0</v>
      </c>
      <c r="M57">
        <v>1560.02</v>
      </c>
      <c r="N57">
        <v>0</v>
      </c>
      <c r="O57">
        <v>1464.76</v>
      </c>
      <c r="P57">
        <v>0</v>
      </c>
      <c r="Q57" t="s">
        <v>2</v>
      </c>
      <c r="R57">
        <v>5</v>
      </c>
      <c r="S57">
        <v>1562.4</v>
      </c>
      <c r="T57">
        <v>260.39999999999998</v>
      </c>
    </row>
    <row r="58" spans="1:20" x14ac:dyDescent="0.25">
      <c r="A58" t="s">
        <v>81</v>
      </c>
      <c r="B58" t="s">
        <v>39</v>
      </c>
      <c r="C58">
        <v>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9</v>
      </c>
      <c r="M58">
        <v>1093.8599999999999</v>
      </c>
      <c r="N58">
        <v>0</v>
      </c>
      <c r="O58">
        <v>0</v>
      </c>
      <c r="P58">
        <v>1093.8599999999999</v>
      </c>
      <c r="Q58" t="s">
        <v>82</v>
      </c>
      <c r="R58">
        <v>5</v>
      </c>
      <c r="S58">
        <v>0</v>
      </c>
      <c r="T58">
        <v>0</v>
      </c>
    </row>
    <row r="59" spans="1:20" x14ac:dyDescent="0.25">
      <c r="A59" t="s">
        <v>83</v>
      </c>
      <c r="B59" t="s">
        <v>84</v>
      </c>
      <c r="C59">
        <v>31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30</v>
      </c>
      <c r="M59">
        <v>1785.6</v>
      </c>
      <c r="N59">
        <v>0</v>
      </c>
      <c r="O59">
        <v>64.3</v>
      </c>
      <c r="P59">
        <v>1728</v>
      </c>
      <c r="Q59" t="s">
        <v>10</v>
      </c>
      <c r="R59">
        <v>5</v>
      </c>
      <c r="S59">
        <v>67.52</v>
      </c>
      <c r="T59">
        <v>0</v>
      </c>
    </row>
    <row r="60" spans="1:20" x14ac:dyDescent="0.25">
      <c r="A60" t="s">
        <v>85</v>
      </c>
      <c r="B60" t="s">
        <v>64</v>
      </c>
      <c r="C60">
        <v>25</v>
      </c>
      <c r="D60">
        <v>0</v>
      </c>
      <c r="E60">
        <v>0</v>
      </c>
      <c r="F60">
        <v>0</v>
      </c>
      <c r="G60">
        <v>4</v>
      </c>
      <c r="H60">
        <v>0</v>
      </c>
      <c r="I60">
        <v>0</v>
      </c>
      <c r="J60">
        <v>0</v>
      </c>
      <c r="K60">
        <v>0</v>
      </c>
      <c r="L60">
        <v>21</v>
      </c>
      <c r="M60">
        <v>3687.75</v>
      </c>
      <c r="N60">
        <v>0</v>
      </c>
      <c r="O60">
        <v>672</v>
      </c>
      <c r="P60">
        <v>3097.71</v>
      </c>
      <c r="Q60" t="s">
        <v>2</v>
      </c>
      <c r="R60">
        <v>5</v>
      </c>
      <c r="S60">
        <v>705.6</v>
      </c>
      <c r="T60">
        <v>0</v>
      </c>
    </row>
    <row r="61" spans="1:20" x14ac:dyDescent="0.25">
      <c r="A61" t="s">
        <v>86</v>
      </c>
      <c r="B61" t="s">
        <v>87</v>
      </c>
      <c r="C61">
        <v>65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65</v>
      </c>
      <c r="M61">
        <v>1966.25</v>
      </c>
      <c r="N61">
        <v>0</v>
      </c>
      <c r="O61">
        <v>0</v>
      </c>
      <c r="P61">
        <v>1966.25</v>
      </c>
      <c r="Q61" t="s">
        <v>10</v>
      </c>
      <c r="R61">
        <v>5</v>
      </c>
      <c r="S61">
        <v>0</v>
      </c>
      <c r="T61">
        <v>0</v>
      </c>
    </row>
    <row r="62" spans="1:20" x14ac:dyDescent="0.25">
      <c r="A62" t="s">
        <v>88</v>
      </c>
      <c r="B62" t="s">
        <v>89</v>
      </c>
      <c r="C62">
        <v>57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57</v>
      </c>
      <c r="M62">
        <v>2298.81</v>
      </c>
      <c r="N62">
        <v>0</v>
      </c>
      <c r="O62">
        <v>0</v>
      </c>
      <c r="P62">
        <v>2298.81</v>
      </c>
      <c r="Q62" t="s">
        <v>10</v>
      </c>
      <c r="R62">
        <v>5</v>
      </c>
      <c r="S62">
        <v>0</v>
      </c>
      <c r="T62">
        <v>0</v>
      </c>
    </row>
    <row r="63" spans="1:20" x14ac:dyDescent="0.25">
      <c r="A63" t="s">
        <v>90</v>
      </c>
      <c r="B63" t="s">
        <v>91</v>
      </c>
      <c r="C63">
        <v>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</v>
      </c>
      <c r="M63">
        <v>358.92</v>
      </c>
      <c r="N63">
        <v>0</v>
      </c>
      <c r="O63">
        <v>0</v>
      </c>
      <c r="P63">
        <v>358.92</v>
      </c>
      <c r="Q63" t="s">
        <v>5</v>
      </c>
      <c r="R63">
        <v>5</v>
      </c>
      <c r="S63">
        <v>0</v>
      </c>
      <c r="T63">
        <v>0</v>
      </c>
    </row>
    <row r="64" spans="1:20" x14ac:dyDescent="0.25">
      <c r="A64" t="s">
        <v>92</v>
      </c>
      <c r="B64" t="s">
        <v>93</v>
      </c>
      <c r="C64">
        <v>84</v>
      </c>
      <c r="D64">
        <v>0</v>
      </c>
      <c r="E64">
        <v>0</v>
      </c>
      <c r="F64">
        <v>0</v>
      </c>
      <c r="G64">
        <v>30</v>
      </c>
      <c r="H64">
        <v>0</v>
      </c>
      <c r="I64">
        <v>0</v>
      </c>
      <c r="J64">
        <v>0</v>
      </c>
      <c r="K64">
        <v>0</v>
      </c>
      <c r="L64">
        <v>54</v>
      </c>
      <c r="M64">
        <v>6191.64</v>
      </c>
      <c r="N64">
        <v>0</v>
      </c>
      <c r="O64">
        <v>2596.56</v>
      </c>
      <c r="P64">
        <v>3980.34</v>
      </c>
      <c r="Q64" t="s">
        <v>5</v>
      </c>
      <c r="R64">
        <v>5</v>
      </c>
      <c r="S64">
        <v>2731.68</v>
      </c>
      <c r="T64">
        <v>0</v>
      </c>
    </row>
    <row r="65" spans="1:20" x14ac:dyDescent="0.25">
      <c r="A65" t="s">
        <v>94</v>
      </c>
      <c r="B65" t="s">
        <v>91</v>
      </c>
      <c r="C65">
        <v>14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13</v>
      </c>
      <c r="M65">
        <v>891.24</v>
      </c>
      <c r="N65">
        <v>0</v>
      </c>
      <c r="O65">
        <v>73</v>
      </c>
      <c r="P65">
        <v>827.58</v>
      </c>
      <c r="Q65" t="s">
        <v>5</v>
      </c>
      <c r="R65">
        <v>18</v>
      </c>
      <c r="S65">
        <v>86.14</v>
      </c>
      <c r="T65">
        <v>0</v>
      </c>
    </row>
    <row r="66" spans="1:20" x14ac:dyDescent="0.25">
      <c r="A66" t="s">
        <v>94</v>
      </c>
      <c r="B66" t="s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5</v>
      </c>
      <c r="R66">
        <v>28</v>
      </c>
      <c r="S66">
        <v>0</v>
      </c>
      <c r="T66">
        <v>0</v>
      </c>
    </row>
    <row r="67" spans="1:20" x14ac:dyDescent="0.25">
      <c r="A67" t="s">
        <v>95</v>
      </c>
      <c r="B67" t="s">
        <v>21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5</v>
      </c>
      <c r="R67">
        <v>28</v>
      </c>
      <c r="S67">
        <v>0</v>
      </c>
      <c r="T67">
        <v>0</v>
      </c>
    </row>
    <row r="68" spans="1:20" x14ac:dyDescent="0.25">
      <c r="A68" t="s">
        <v>96</v>
      </c>
      <c r="B68" t="s">
        <v>97</v>
      </c>
      <c r="C68">
        <v>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</v>
      </c>
      <c r="M68">
        <v>130</v>
      </c>
      <c r="N68">
        <v>0</v>
      </c>
      <c r="O68">
        <v>0</v>
      </c>
      <c r="P68">
        <v>130</v>
      </c>
      <c r="Q68" t="s">
        <v>98</v>
      </c>
      <c r="R68">
        <v>5</v>
      </c>
      <c r="S68">
        <v>0</v>
      </c>
      <c r="T68">
        <v>0</v>
      </c>
    </row>
    <row r="69" spans="1:20" x14ac:dyDescent="0.25">
      <c r="A69" t="s">
        <v>99</v>
      </c>
      <c r="B69" t="s">
        <v>100</v>
      </c>
      <c r="C69">
        <v>90</v>
      </c>
      <c r="D69">
        <v>0</v>
      </c>
      <c r="E69">
        <v>0</v>
      </c>
      <c r="F69">
        <v>0</v>
      </c>
      <c r="G69">
        <v>10</v>
      </c>
      <c r="H69">
        <v>0</v>
      </c>
      <c r="I69">
        <v>0</v>
      </c>
      <c r="J69">
        <v>0</v>
      </c>
      <c r="K69">
        <v>0</v>
      </c>
      <c r="L69">
        <v>80</v>
      </c>
      <c r="M69">
        <v>7092.9</v>
      </c>
      <c r="N69">
        <v>0</v>
      </c>
      <c r="O69">
        <v>870</v>
      </c>
      <c r="P69">
        <v>6304.8</v>
      </c>
      <c r="Q69" t="s">
        <v>5</v>
      </c>
      <c r="R69">
        <v>18</v>
      </c>
      <c r="S69">
        <v>1062</v>
      </c>
      <c r="T69">
        <v>0</v>
      </c>
    </row>
    <row r="70" spans="1:20" x14ac:dyDescent="0.25">
      <c r="A70" t="s">
        <v>101</v>
      </c>
      <c r="B70" t="s">
        <v>21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5</v>
      </c>
      <c r="R70">
        <v>5</v>
      </c>
      <c r="S70">
        <v>0</v>
      </c>
      <c r="T70">
        <v>0</v>
      </c>
    </row>
    <row r="71" spans="1:20" x14ac:dyDescent="0.25">
      <c r="A71" t="s">
        <v>102</v>
      </c>
      <c r="B71" t="s">
        <v>91</v>
      </c>
      <c r="C71">
        <v>99</v>
      </c>
      <c r="D71">
        <v>0</v>
      </c>
      <c r="E71">
        <v>0</v>
      </c>
      <c r="F71">
        <v>0</v>
      </c>
      <c r="G71">
        <v>18</v>
      </c>
      <c r="H71">
        <v>0</v>
      </c>
      <c r="I71">
        <v>0</v>
      </c>
      <c r="J71">
        <v>0</v>
      </c>
      <c r="K71">
        <v>0</v>
      </c>
      <c r="L71">
        <v>81</v>
      </c>
      <c r="M71">
        <v>5059.8900000000003</v>
      </c>
      <c r="N71">
        <v>0</v>
      </c>
      <c r="O71">
        <v>936</v>
      </c>
      <c r="P71">
        <v>4139.91</v>
      </c>
      <c r="Q71" t="s">
        <v>5</v>
      </c>
      <c r="R71">
        <v>18</v>
      </c>
      <c r="S71">
        <v>1234.04</v>
      </c>
      <c r="T71">
        <v>0</v>
      </c>
    </row>
    <row r="72" spans="1:20" x14ac:dyDescent="0.25">
      <c r="A72" t="s">
        <v>103</v>
      </c>
      <c r="B72" t="s">
        <v>104</v>
      </c>
      <c r="C72">
        <v>43</v>
      </c>
      <c r="D72">
        <v>0</v>
      </c>
      <c r="E72">
        <v>0</v>
      </c>
      <c r="F72">
        <v>0</v>
      </c>
      <c r="G72">
        <v>3</v>
      </c>
      <c r="H72">
        <v>0</v>
      </c>
      <c r="I72">
        <v>0</v>
      </c>
      <c r="J72">
        <v>0</v>
      </c>
      <c r="K72">
        <v>0</v>
      </c>
      <c r="L72">
        <v>40</v>
      </c>
      <c r="M72">
        <v>6778.09</v>
      </c>
      <c r="N72">
        <v>0</v>
      </c>
      <c r="O72">
        <v>540</v>
      </c>
      <c r="P72">
        <v>6305.2</v>
      </c>
      <c r="Q72" t="s">
        <v>5</v>
      </c>
      <c r="R72">
        <v>18</v>
      </c>
      <c r="S72">
        <v>637.20000000000005</v>
      </c>
      <c r="T72">
        <v>0</v>
      </c>
    </row>
    <row r="73" spans="1:20" x14ac:dyDescent="0.25">
      <c r="A73" t="s">
        <v>105</v>
      </c>
      <c r="B73" t="s">
        <v>27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106</v>
      </c>
      <c r="R73">
        <v>5</v>
      </c>
      <c r="S73">
        <v>0</v>
      </c>
      <c r="T73">
        <v>0</v>
      </c>
    </row>
    <row r="74" spans="1:20" x14ac:dyDescent="0.25">
      <c r="A74" t="s">
        <v>107</v>
      </c>
      <c r="B74" t="s">
        <v>21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75.25</v>
      </c>
      <c r="N74">
        <v>0</v>
      </c>
      <c r="O74">
        <v>0</v>
      </c>
      <c r="P74">
        <v>75.25</v>
      </c>
      <c r="Q74" t="s">
        <v>5</v>
      </c>
      <c r="R74">
        <v>28</v>
      </c>
      <c r="S74">
        <v>0</v>
      </c>
      <c r="T74">
        <v>0</v>
      </c>
    </row>
    <row r="75" spans="1:20" x14ac:dyDescent="0.25">
      <c r="A75" t="s">
        <v>108</v>
      </c>
      <c r="B75" t="s">
        <v>109</v>
      </c>
      <c r="C75">
        <v>114</v>
      </c>
      <c r="D75">
        <v>0</v>
      </c>
      <c r="E75">
        <v>0</v>
      </c>
      <c r="F75">
        <v>0</v>
      </c>
      <c r="G75">
        <v>42</v>
      </c>
      <c r="H75">
        <v>0</v>
      </c>
      <c r="I75">
        <v>0</v>
      </c>
      <c r="J75">
        <v>0</v>
      </c>
      <c r="K75">
        <v>0</v>
      </c>
      <c r="L75">
        <v>72</v>
      </c>
      <c r="M75">
        <v>4660.32</v>
      </c>
      <c r="N75">
        <v>0</v>
      </c>
      <c r="O75">
        <v>1951.32</v>
      </c>
      <c r="P75">
        <v>2943.36</v>
      </c>
      <c r="Q75" t="s">
        <v>5</v>
      </c>
      <c r="R75">
        <v>5</v>
      </c>
      <c r="S75">
        <v>2048.89</v>
      </c>
      <c r="T75">
        <v>0</v>
      </c>
    </row>
    <row r="76" spans="1:20" x14ac:dyDescent="0.25">
      <c r="A76" t="s">
        <v>110</v>
      </c>
      <c r="B76" t="s">
        <v>1</v>
      </c>
      <c r="C76">
        <v>94</v>
      </c>
      <c r="D76">
        <v>0</v>
      </c>
      <c r="E76">
        <v>0</v>
      </c>
      <c r="F76">
        <v>0</v>
      </c>
      <c r="G76">
        <v>21</v>
      </c>
      <c r="H76">
        <v>0</v>
      </c>
      <c r="I76">
        <v>0</v>
      </c>
      <c r="J76">
        <v>0</v>
      </c>
      <c r="K76">
        <v>0</v>
      </c>
      <c r="L76">
        <v>73</v>
      </c>
      <c r="M76">
        <v>7365.84</v>
      </c>
      <c r="N76">
        <v>0</v>
      </c>
      <c r="O76">
        <v>1869.89</v>
      </c>
      <c r="P76">
        <v>5720.28</v>
      </c>
      <c r="Q76" t="s">
        <v>5</v>
      </c>
      <c r="R76">
        <v>5</v>
      </c>
      <c r="S76">
        <v>1963.33</v>
      </c>
      <c r="T76">
        <v>0</v>
      </c>
    </row>
    <row r="77" spans="1:20" x14ac:dyDescent="0.25">
      <c r="A77" t="s">
        <v>111</v>
      </c>
      <c r="B77" t="s">
        <v>112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113</v>
      </c>
      <c r="R77">
        <v>5</v>
      </c>
      <c r="S77">
        <v>0</v>
      </c>
      <c r="T77">
        <v>0</v>
      </c>
    </row>
    <row r="78" spans="1:20" x14ac:dyDescent="0.25">
      <c r="A78" t="s">
        <v>114</v>
      </c>
      <c r="B78" t="s">
        <v>115</v>
      </c>
      <c r="C78">
        <v>54</v>
      </c>
      <c r="D78">
        <v>0</v>
      </c>
      <c r="E78">
        <v>0</v>
      </c>
      <c r="F78">
        <v>0</v>
      </c>
      <c r="G78">
        <v>38</v>
      </c>
      <c r="H78">
        <v>0</v>
      </c>
      <c r="I78">
        <v>0</v>
      </c>
      <c r="J78">
        <v>0</v>
      </c>
      <c r="K78">
        <v>0</v>
      </c>
      <c r="L78">
        <v>16</v>
      </c>
      <c r="M78">
        <v>3553.74</v>
      </c>
      <c r="N78">
        <v>0</v>
      </c>
      <c r="O78">
        <v>2945</v>
      </c>
      <c r="P78">
        <v>1052.96</v>
      </c>
      <c r="Q78" t="s">
        <v>5</v>
      </c>
      <c r="R78">
        <v>5</v>
      </c>
      <c r="S78">
        <v>3092.25</v>
      </c>
      <c r="T78">
        <v>0</v>
      </c>
    </row>
    <row r="79" spans="1:20" x14ac:dyDescent="0.25">
      <c r="A79" t="s">
        <v>116</v>
      </c>
      <c r="B79" t="s">
        <v>109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113</v>
      </c>
      <c r="R79">
        <v>5</v>
      </c>
      <c r="S79">
        <v>0</v>
      </c>
      <c r="T79">
        <v>0</v>
      </c>
    </row>
    <row r="80" spans="1:20" x14ac:dyDescent="0.25">
      <c r="A80" t="s">
        <v>117</v>
      </c>
      <c r="B80" t="s">
        <v>4</v>
      </c>
      <c r="C80">
        <v>223</v>
      </c>
      <c r="D80">
        <v>72</v>
      </c>
      <c r="E80">
        <v>0</v>
      </c>
      <c r="F80">
        <v>0</v>
      </c>
      <c r="G80">
        <v>104</v>
      </c>
      <c r="H80">
        <v>0</v>
      </c>
      <c r="I80">
        <v>0</v>
      </c>
      <c r="J80">
        <v>0</v>
      </c>
      <c r="K80">
        <v>0</v>
      </c>
      <c r="L80">
        <v>191</v>
      </c>
      <c r="M80">
        <v>9145.23</v>
      </c>
      <c r="N80">
        <v>2952.72</v>
      </c>
      <c r="O80">
        <v>5191.76</v>
      </c>
      <c r="P80">
        <v>7832.91</v>
      </c>
      <c r="Q80" t="s">
        <v>113</v>
      </c>
      <c r="R80">
        <v>5</v>
      </c>
      <c r="S80">
        <v>5350.8</v>
      </c>
      <c r="T80">
        <v>0</v>
      </c>
    </row>
    <row r="81" spans="1:20" x14ac:dyDescent="0.25">
      <c r="A81" t="s">
        <v>118</v>
      </c>
      <c r="B81" t="s">
        <v>119</v>
      </c>
      <c r="C81">
        <v>37</v>
      </c>
      <c r="D81">
        <v>0</v>
      </c>
      <c r="E81">
        <v>0</v>
      </c>
      <c r="F81">
        <v>0</v>
      </c>
      <c r="G81">
        <v>10</v>
      </c>
      <c r="H81">
        <v>0</v>
      </c>
      <c r="I81">
        <v>0</v>
      </c>
      <c r="J81">
        <v>0</v>
      </c>
      <c r="K81">
        <v>0</v>
      </c>
      <c r="L81">
        <v>27</v>
      </c>
      <c r="M81">
        <v>4795.57</v>
      </c>
      <c r="N81">
        <v>0</v>
      </c>
      <c r="O81">
        <v>1463</v>
      </c>
      <c r="P81">
        <v>3499.47</v>
      </c>
      <c r="Q81" t="s">
        <v>113</v>
      </c>
      <c r="R81">
        <v>5</v>
      </c>
      <c r="S81">
        <v>1522.5</v>
      </c>
      <c r="T81">
        <v>0</v>
      </c>
    </row>
    <row r="82" spans="1:20" x14ac:dyDescent="0.25">
      <c r="A82" t="s">
        <v>120</v>
      </c>
      <c r="B82" t="s">
        <v>91</v>
      </c>
      <c r="C82">
        <v>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</v>
      </c>
      <c r="M82">
        <v>188.76</v>
      </c>
      <c r="N82">
        <v>0</v>
      </c>
      <c r="O82">
        <v>0</v>
      </c>
      <c r="P82">
        <v>188.76</v>
      </c>
      <c r="Q82" t="s">
        <v>98</v>
      </c>
      <c r="R82">
        <v>5</v>
      </c>
      <c r="S82">
        <v>0</v>
      </c>
      <c r="T82">
        <v>0</v>
      </c>
    </row>
    <row r="83" spans="1:20" x14ac:dyDescent="0.25">
      <c r="A83" t="s">
        <v>121</v>
      </c>
      <c r="B83" t="s">
        <v>91</v>
      </c>
      <c r="C83">
        <v>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5</v>
      </c>
      <c r="M83">
        <v>299.10000000000002</v>
      </c>
      <c r="N83">
        <v>0</v>
      </c>
      <c r="O83">
        <v>0</v>
      </c>
      <c r="P83">
        <v>299.10000000000002</v>
      </c>
      <c r="Q83" t="s">
        <v>98</v>
      </c>
      <c r="R83">
        <v>5</v>
      </c>
      <c r="S83">
        <v>0</v>
      </c>
      <c r="T83">
        <v>0</v>
      </c>
    </row>
    <row r="84" spans="1:20" x14ac:dyDescent="0.25">
      <c r="A84" t="s">
        <v>122</v>
      </c>
      <c r="B84" t="s">
        <v>21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5</v>
      </c>
      <c r="R84">
        <v>28</v>
      </c>
      <c r="S84">
        <v>0</v>
      </c>
      <c r="T84">
        <v>0</v>
      </c>
    </row>
    <row r="85" spans="1:20" x14ac:dyDescent="0.25">
      <c r="A85" t="s">
        <v>123</v>
      </c>
      <c r="B85" t="s">
        <v>21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5</v>
      </c>
      <c r="R85">
        <v>28</v>
      </c>
      <c r="S85">
        <v>0</v>
      </c>
      <c r="T85">
        <v>0</v>
      </c>
    </row>
    <row r="86" spans="1:20" x14ac:dyDescent="0.25">
      <c r="A86" t="s">
        <v>124</v>
      </c>
      <c r="B86" t="s">
        <v>125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248.6</v>
      </c>
      <c r="N86">
        <v>0</v>
      </c>
      <c r="O86">
        <v>0</v>
      </c>
      <c r="P86">
        <v>248.6</v>
      </c>
      <c r="Q86" t="s">
        <v>82</v>
      </c>
      <c r="R86">
        <v>5</v>
      </c>
      <c r="S86">
        <v>0</v>
      </c>
      <c r="T86">
        <v>0</v>
      </c>
    </row>
    <row r="87" spans="1:20" x14ac:dyDescent="0.25">
      <c r="A87" t="s">
        <v>126</v>
      </c>
      <c r="B87" t="s">
        <v>21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127</v>
      </c>
      <c r="R87">
        <v>5</v>
      </c>
      <c r="S87">
        <v>0</v>
      </c>
      <c r="T87">
        <v>0</v>
      </c>
    </row>
    <row r="88" spans="1:20" x14ac:dyDescent="0.25">
      <c r="A88" t="s">
        <v>128</v>
      </c>
      <c r="B88" t="s">
        <v>21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333.48</v>
      </c>
      <c r="N88">
        <v>0</v>
      </c>
      <c r="O88">
        <v>0</v>
      </c>
      <c r="P88">
        <v>333.48</v>
      </c>
      <c r="Q88" t="s">
        <v>127</v>
      </c>
      <c r="R88">
        <v>5</v>
      </c>
      <c r="S88">
        <v>0</v>
      </c>
      <c r="T88">
        <v>0</v>
      </c>
    </row>
    <row r="89" spans="1:20" x14ac:dyDescent="0.25">
      <c r="A89" t="s">
        <v>129</v>
      </c>
      <c r="B89" t="s">
        <v>130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19.579999999999998</v>
      </c>
      <c r="N89">
        <v>0</v>
      </c>
      <c r="O89">
        <v>0</v>
      </c>
      <c r="P89">
        <v>19.579999999999998</v>
      </c>
      <c r="Q89" t="s">
        <v>127</v>
      </c>
      <c r="R89">
        <v>5</v>
      </c>
      <c r="S89">
        <v>0</v>
      </c>
      <c r="T89">
        <v>0</v>
      </c>
    </row>
    <row r="90" spans="1:20" x14ac:dyDescent="0.25">
      <c r="A90" t="s">
        <v>131</v>
      </c>
      <c r="B90" t="s">
        <v>93</v>
      </c>
      <c r="C90">
        <v>38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38</v>
      </c>
      <c r="M90">
        <v>2899.78</v>
      </c>
      <c r="N90">
        <v>0</v>
      </c>
      <c r="O90">
        <v>0</v>
      </c>
      <c r="P90">
        <v>2899.78</v>
      </c>
      <c r="Q90" t="s">
        <v>10</v>
      </c>
      <c r="R90">
        <v>5</v>
      </c>
      <c r="S90">
        <v>0</v>
      </c>
      <c r="T90">
        <v>0</v>
      </c>
    </row>
    <row r="91" spans="1:20" x14ac:dyDescent="0.25">
      <c r="A91" t="s">
        <v>132</v>
      </c>
      <c r="B91" t="s">
        <v>12</v>
      </c>
      <c r="C91">
        <v>27</v>
      </c>
      <c r="D91">
        <v>0</v>
      </c>
      <c r="E91">
        <v>0</v>
      </c>
      <c r="F91">
        <v>0</v>
      </c>
      <c r="G91">
        <v>1</v>
      </c>
      <c r="H91">
        <v>1</v>
      </c>
      <c r="I91">
        <v>0</v>
      </c>
      <c r="J91">
        <v>0</v>
      </c>
      <c r="K91">
        <v>0</v>
      </c>
      <c r="L91">
        <v>25</v>
      </c>
      <c r="M91">
        <v>6943.05</v>
      </c>
      <c r="N91">
        <v>0</v>
      </c>
      <c r="O91">
        <v>285.73</v>
      </c>
      <c r="P91">
        <v>6428.75</v>
      </c>
      <c r="Q91" t="s">
        <v>10</v>
      </c>
      <c r="R91">
        <v>5</v>
      </c>
      <c r="S91">
        <v>300.02</v>
      </c>
      <c r="T91">
        <v>300.02</v>
      </c>
    </row>
    <row r="92" spans="1:20" x14ac:dyDescent="0.25">
      <c r="A92" t="s">
        <v>132</v>
      </c>
      <c r="B92" t="s">
        <v>133</v>
      </c>
      <c r="C92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</v>
      </c>
      <c r="M92">
        <v>2121.42</v>
      </c>
      <c r="N92">
        <v>0</v>
      </c>
      <c r="O92">
        <v>0</v>
      </c>
      <c r="P92">
        <v>2121.42</v>
      </c>
      <c r="Q92" t="s">
        <v>10</v>
      </c>
      <c r="R92">
        <v>5</v>
      </c>
      <c r="S92">
        <v>0</v>
      </c>
      <c r="T92">
        <v>0</v>
      </c>
    </row>
    <row r="93" spans="1:20" x14ac:dyDescent="0.25">
      <c r="A93" t="s">
        <v>134</v>
      </c>
      <c r="B93" t="s">
        <v>135</v>
      </c>
      <c r="C93">
        <v>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</v>
      </c>
      <c r="M93">
        <v>41.76</v>
      </c>
      <c r="N93">
        <v>0</v>
      </c>
      <c r="O93">
        <v>0</v>
      </c>
      <c r="P93">
        <v>41.76</v>
      </c>
      <c r="Q93" t="s">
        <v>15</v>
      </c>
      <c r="R93">
        <v>5</v>
      </c>
      <c r="S93">
        <v>0</v>
      </c>
      <c r="T93">
        <v>0</v>
      </c>
    </row>
    <row r="94" spans="1:20" x14ac:dyDescent="0.25">
      <c r="A94" t="s">
        <v>136</v>
      </c>
      <c r="B94" t="s">
        <v>21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137</v>
      </c>
      <c r="R94">
        <v>5</v>
      </c>
      <c r="S94">
        <v>0</v>
      </c>
      <c r="T94">
        <v>0</v>
      </c>
    </row>
    <row r="95" spans="1:20" x14ac:dyDescent="0.25">
      <c r="A95" t="s">
        <v>138</v>
      </c>
      <c r="B95" t="s">
        <v>139</v>
      </c>
      <c r="C95">
        <v>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7</v>
      </c>
      <c r="M95">
        <v>179.06</v>
      </c>
      <c r="N95">
        <v>0</v>
      </c>
      <c r="O95">
        <v>0</v>
      </c>
      <c r="P95">
        <v>179.06</v>
      </c>
      <c r="Q95" t="s">
        <v>2</v>
      </c>
      <c r="R95">
        <v>5</v>
      </c>
      <c r="S95">
        <v>0</v>
      </c>
      <c r="T95">
        <v>0</v>
      </c>
    </row>
    <row r="96" spans="1:20" x14ac:dyDescent="0.25">
      <c r="A96" t="s">
        <v>140</v>
      </c>
      <c r="B96" t="s">
        <v>141</v>
      </c>
      <c r="C96">
        <v>21</v>
      </c>
      <c r="D96">
        <v>0</v>
      </c>
      <c r="E96">
        <v>0</v>
      </c>
      <c r="F96">
        <v>0</v>
      </c>
      <c r="G96">
        <v>4</v>
      </c>
      <c r="H96">
        <v>0</v>
      </c>
      <c r="I96">
        <v>0</v>
      </c>
      <c r="J96">
        <v>0</v>
      </c>
      <c r="K96">
        <v>0</v>
      </c>
      <c r="L96">
        <v>17</v>
      </c>
      <c r="M96">
        <v>3619.14</v>
      </c>
      <c r="N96">
        <v>0</v>
      </c>
      <c r="O96">
        <v>752</v>
      </c>
      <c r="P96">
        <v>2929.78</v>
      </c>
      <c r="Q96" t="s">
        <v>2</v>
      </c>
      <c r="R96">
        <v>5</v>
      </c>
      <c r="S96">
        <v>789.6</v>
      </c>
      <c r="T96">
        <v>0</v>
      </c>
    </row>
    <row r="97" spans="1:20" x14ac:dyDescent="0.25">
      <c r="A97" t="s">
        <v>142</v>
      </c>
      <c r="B97" t="s">
        <v>29</v>
      </c>
      <c r="C97">
        <v>37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36</v>
      </c>
      <c r="M97">
        <v>2695.82</v>
      </c>
      <c r="N97">
        <v>0</v>
      </c>
      <c r="O97">
        <v>80</v>
      </c>
      <c r="P97">
        <v>2622.96</v>
      </c>
      <c r="Q97" t="s">
        <v>143</v>
      </c>
      <c r="R97">
        <v>5</v>
      </c>
      <c r="S97">
        <v>84</v>
      </c>
      <c r="T97">
        <v>0</v>
      </c>
    </row>
    <row r="98" spans="1:20" x14ac:dyDescent="0.25">
      <c r="A98" t="s">
        <v>144</v>
      </c>
      <c r="B98" t="s">
        <v>145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5</v>
      </c>
      <c r="R98">
        <v>5</v>
      </c>
      <c r="S98">
        <v>0</v>
      </c>
      <c r="T98">
        <v>0</v>
      </c>
    </row>
    <row r="99" spans="1:20" x14ac:dyDescent="0.25">
      <c r="A99" t="s">
        <v>146</v>
      </c>
      <c r="B99" t="s">
        <v>147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5</v>
      </c>
      <c r="R99">
        <v>28</v>
      </c>
      <c r="S99">
        <v>0</v>
      </c>
      <c r="T99">
        <v>0</v>
      </c>
    </row>
    <row r="100" spans="1:20" x14ac:dyDescent="0.25">
      <c r="A100" t="s">
        <v>148</v>
      </c>
      <c r="B100" t="s">
        <v>149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5</v>
      </c>
      <c r="R100">
        <v>5</v>
      </c>
      <c r="S100">
        <v>0</v>
      </c>
      <c r="T100">
        <v>0</v>
      </c>
    </row>
    <row r="101" spans="1:20" x14ac:dyDescent="0.25">
      <c r="A101" t="s">
        <v>150</v>
      </c>
      <c r="B101" t="s">
        <v>93</v>
      </c>
      <c r="C101">
        <v>11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11</v>
      </c>
      <c r="M101">
        <v>560.78</v>
      </c>
      <c r="N101">
        <v>0</v>
      </c>
      <c r="O101">
        <v>0</v>
      </c>
      <c r="P101">
        <v>560.78</v>
      </c>
      <c r="Q101" t="s">
        <v>151</v>
      </c>
      <c r="R101">
        <v>5</v>
      </c>
      <c r="S101">
        <v>0</v>
      </c>
      <c r="T101">
        <v>0</v>
      </c>
    </row>
    <row r="102" spans="1:20" x14ac:dyDescent="0.25">
      <c r="A102" t="s">
        <v>150</v>
      </c>
      <c r="B102" t="s">
        <v>109</v>
      </c>
      <c r="C102">
        <v>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</v>
      </c>
      <c r="M102">
        <v>118.38</v>
      </c>
      <c r="N102">
        <v>0</v>
      </c>
      <c r="O102">
        <v>0</v>
      </c>
      <c r="P102">
        <v>118.38</v>
      </c>
      <c r="Q102" t="s">
        <v>151</v>
      </c>
      <c r="R102">
        <v>5</v>
      </c>
      <c r="S102">
        <v>0</v>
      </c>
      <c r="T102">
        <v>0</v>
      </c>
    </row>
    <row r="103" spans="1:20" x14ac:dyDescent="0.25">
      <c r="A103" t="s">
        <v>152</v>
      </c>
      <c r="B103" t="s">
        <v>29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</v>
      </c>
      <c r="R103">
        <v>5</v>
      </c>
      <c r="S103">
        <v>0</v>
      </c>
      <c r="T103">
        <v>0</v>
      </c>
    </row>
    <row r="104" spans="1:20" x14ac:dyDescent="0.25">
      <c r="A104" t="s">
        <v>153</v>
      </c>
      <c r="B104" t="s">
        <v>93</v>
      </c>
      <c r="C104">
        <v>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4</v>
      </c>
      <c r="M104">
        <v>220.8</v>
      </c>
      <c r="N104">
        <v>0</v>
      </c>
      <c r="O104">
        <v>0</v>
      </c>
      <c r="P104">
        <v>220.8</v>
      </c>
      <c r="Q104" t="s">
        <v>2</v>
      </c>
      <c r="R104">
        <v>5</v>
      </c>
      <c r="S104">
        <v>0</v>
      </c>
      <c r="T104">
        <v>0</v>
      </c>
    </row>
    <row r="105" spans="1:20" x14ac:dyDescent="0.25">
      <c r="A105" t="s">
        <v>154</v>
      </c>
      <c r="B105" t="s">
        <v>109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32.89</v>
      </c>
      <c r="N105">
        <v>0</v>
      </c>
      <c r="O105">
        <v>0</v>
      </c>
      <c r="P105">
        <v>32.89</v>
      </c>
      <c r="Q105" t="s">
        <v>155</v>
      </c>
      <c r="R105">
        <v>5</v>
      </c>
      <c r="S105">
        <v>0</v>
      </c>
      <c r="T105">
        <v>0</v>
      </c>
    </row>
    <row r="106" spans="1:20" x14ac:dyDescent="0.25">
      <c r="A106" t="s">
        <v>156</v>
      </c>
      <c r="B106" t="s">
        <v>87</v>
      </c>
      <c r="C106">
        <v>30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30</v>
      </c>
      <c r="M106">
        <v>2269.5</v>
      </c>
      <c r="N106">
        <v>0</v>
      </c>
      <c r="O106">
        <v>0</v>
      </c>
      <c r="P106">
        <v>2269.5</v>
      </c>
      <c r="Q106" t="s">
        <v>2</v>
      </c>
      <c r="R106">
        <v>5</v>
      </c>
      <c r="S106">
        <v>0</v>
      </c>
      <c r="T106">
        <v>0</v>
      </c>
    </row>
    <row r="107" spans="1:20" x14ac:dyDescent="0.25">
      <c r="A107" t="s">
        <v>157</v>
      </c>
      <c r="B107" t="s">
        <v>158</v>
      </c>
      <c r="C107">
        <v>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</v>
      </c>
      <c r="M107">
        <v>172.65</v>
      </c>
      <c r="N107">
        <v>0</v>
      </c>
      <c r="O107">
        <v>0</v>
      </c>
      <c r="P107">
        <v>172.65</v>
      </c>
      <c r="Q107" t="s">
        <v>10</v>
      </c>
      <c r="R107">
        <v>5</v>
      </c>
      <c r="S107">
        <v>0</v>
      </c>
      <c r="T107">
        <v>0</v>
      </c>
    </row>
    <row r="108" spans="1:20" x14ac:dyDescent="0.25">
      <c r="A108" t="s">
        <v>159</v>
      </c>
      <c r="B108" t="s">
        <v>1</v>
      </c>
      <c r="C108">
        <v>24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24</v>
      </c>
      <c r="M108">
        <v>2489.52</v>
      </c>
      <c r="N108">
        <v>0</v>
      </c>
      <c r="O108">
        <v>0</v>
      </c>
      <c r="P108">
        <v>2489.52</v>
      </c>
      <c r="Q108" t="s">
        <v>160</v>
      </c>
      <c r="R108">
        <v>5</v>
      </c>
      <c r="S108">
        <v>0</v>
      </c>
      <c r="T108">
        <v>0</v>
      </c>
    </row>
    <row r="109" spans="1:20" x14ac:dyDescent="0.25">
      <c r="A109" t="s">
        <v>161</v>
      </c>
      <c r="B109" t="s">
        <v>12</v>
      </c>
      <c r="C109">
        <v>10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</v>
      </c>
      <c r="M109">
        <v>900.2</v>
      </c>
      <c r="N109">
        <v>0</v>
      </c>
      <c r="O109">
        <v>0</v>
      </c>
      <c r="P109">
        <v>900.2</v>
      </c>
      <c r="Q109" t="s">
        <v>2</v>
      </c>
      <c r="R109">
        <v>5</v>
      </c>
      <c r="S109">
        <v>0</v>
      </c>
      <c r="T109">
        <v>0</v>
      </c>
    </row>
    <row r="110" spans="1:20" x14ac:dyDescent="0.25">
      <c r="A110" t="s">
        <v>162</v>
      </c>
      <c r="B110" t="s">
        <v>12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</v>
      </c>
      <c r="R110">
        <v>5</v>
      </c>
      <c r="S110">
        <v>0</v>
      </c>
      <c r="T110">
        <v>0</v>
      </c>
    </row>
    <row r="111" spans="1:20" x14ac:dyDescent="0.25">
      <c r="A111" t="s">
        <v>163</v>
      </c>
      <c r="B111" t="s">
        <v>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</v>
      </c>
      <c r="R111">
        <v>5</v>
      </c>
      <c r="S111">
        <v>0</v>
      </c>
      <c r="T111">
        <v>0</v>
      </c>
    </row>
    <row r="112" spans="1:20" x14ac:dyDescent="0.25">
      <c r="A112" t="s">
        <v>164</v>
      </c>
      <c r="B112" t="s">
        <v>76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</v>
      </c>
      <c r="R112">
        <v>5</v>
      </c>
      <c r="S112">
        <v>0</v>
      </c>
      <c r="T112">
        <v>0</v>
      </c>
    </row>
    <row r="113" spans="1:20" x14ac:dyDescent="0.25">
      <c r="A113" t="s">
        <v>165</v>
      </c>
      <c r="B113" t="s">
        <v>32</v>
      </c>
      <c r="C113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</v>
      </c>
      <c r="M113">
        <v>239.76</v>
      </c>
      <c r="N113">
        <v>0</v>
      </c>
      <c r="O113">
        <v>0</v>
      </c>
      <c r="P113">
        <v>239.76</v>
      </c>
      <c r="Q113" t="s">
        <v>2</v>
      </c>
      <c r="R113">
        <v>5</v>
      </c>
      <c r="S113">
        <v>0</v>
      </c>
      <c r="T113">
        <v>0</v>
      </c>
    </row>
    <row r="114" spans="1:20" x14ac:dyDescent="0.25">
      <c r="A114" t="s">
        <v>166</v>
      </c>
      <c r="B114" t="s">
        <v>9</v>
      </c>
      <c r="C114">
        <v>12</v>
      </c>
      <c r="D114">
        <v>20</v>
      </c>
      <c r="E114">
        <v>0</v>
      </c>
      <c r="F114">
        <v>0</v>
      </c>
      <c r="G114">
        <v>24</v>
      </c>
      <c r="H114">
        <v>0</v>
      </c>
      <c r="I114">
        <v>0</v>
      </c>
      <c r="J114">
        <v>0</v>
      </c>
      <c r="K114">
        <v>0</v>
      </c>
      <c r="L114">
        <v>8</v>
      </c>
      <c r="M114">
        <v>2312.2800000000002</v>
      </c>
      <c r="N114">
        <v>3853.8</v>
      </c>
      <c r="O114">
        <v>5154.24</v>
      </c>
      <c r="P114">
        <v>1541.52</v>
      </c>
      <c r="Q114" t="s">
        <v>2</v>
      </c>
      <c r="R114">
        <v>5</v>
      </c>
      <c r="S114">
        <v>5405.9</v>
      </c>
      <c r="T114">
        <v>0</v>
      </c>
    </row>
    <row r="115" spans="1:20" x14ac:dyDescent="0.25">
      <c r="A115" t="s">
        <v>167</v>
      </c>
      <c r="B115" t="s">
        <v>39</v>
      </c>
      <c r="C115">
        <v>26</v>
      </c>
      <c r="D115">
        <v>0</v>
      </c>
      <c r="E115">
        <v>0</v>
      </c>
      <c r="F115">
        <v>0</v>
      </c>
      <c r="G115">
        <v>17</v>
      </c>
      <c r="H115">
        <v>0</v>
      </c>
      <c r="I115">
        <v>0</v>
      </c>
      <c r="J115">
        <v>0</v>
      </c>
      <c r="K115">
        <v>0</v>
      </c>
      <c r="L115">
        <v>9</v>
      </c>
      <c r="M115">
        <v>2470.2600000000002</v>
      </c>
      <c r="N115">
        <v>0</v>
      </c>
      <c r="O115">
        <v>1887</v>
      </c>
      <c r="P115">
        <v>855.09</v>
      </c>
      <c r="Q115" t="s">
        <v>2</v>
      </c>
      <c r="R115">
        <v>5</v>
      </c>
      <c r="S115">
        <v>1981.35</v>
      </c>
      <c r="T115">
        <v>0</v>
      </c>
    </row>
    <row r="116" spans="1:20" x14ac:dyDescent="0.25">
      <c r="A116" t="s">
        <v>168</v>
      </c>
      <c r="B116" t="s">
        <v>1</v>
      </c>
      <c r="C116">
        <v>19</v>
      </c>
      <c r="D116">
        <v>0</v>
      </c>
      <c r="E116">
        <v>0</v>
      </c>
      <c r="F116">
        <v>0</v>
      </c>
      <c r="G116">
        <v>15</v>
      </c>
      <c r="H116">
        <v>0</v>
      </c>
      <c r="I116">
        <v>0</v>
      </c>
      <c r="J116">
        <v>0</v>
      </c>
      <c r="K116">
        <v>0</v>
      </c>
      <c r="L116">
        <v>4</v>
      </c>
      <c r="M116">
        <v>2800.98</v>
      </c>
      <c r="N116">
        <v>0</v>
      </c>
      <c r="O116">
        <v>2580</v>
      </c>
      <c r="P116">
        <v>589.67999999999995</v>
      </c>
      <c r="Q116" t="s">
        <v>2</v>
      </c>
      <c r="R116">
        <v>5</v>
      </c>
      <c r="S116">
        <v>2709</v>
      </c>
      <c r="T116">
        <v>0</v>
      </c>
    </row>
    <row r="117" spans="1:20" x14ac:dyDescent="0.25">
      <c r="A117" t="s">
        <v>169</v>
      </c>
      <c r="B117" t="s">
        <v>52</v>
      </c>
      <c r="C117">
        <v>13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13</v>
      </c>
      <c r="M117">
        <v>1742.91</v>
      </c>
      <c r="N117">
        <v>0</v>
      </c>
      <c r="O117">
        <v>0</v>
      </c>
      <c r="P117">
        <v>1742.91</v>
      </c>
      <c r="Q117" t="s">
        <v>2</v>
      </c>
      <c r="R117">
        <v>5</v>
      </c>
      <c r="S117">
        <v>0</v>
      </c>
      <c r="T117">
        <v>0</v>
      </c>
    </row>
    <row r="118" spans="1:20" x14ac:dyDescent="0.25">
      <c r="A118" t="s">
        <v>170</v>
      </c>
      <c r="B118" t="s">
        <v>171</v>
      </c>
      <c r="C118">
        <v>75</v>
      </c>
      <c r="D118">
        <v>0</v>
      </c>
      <c r="E118">
        <v>0</v>
      </c>
      <c r="F118">
        <v>0</v>
      </c>
      <c r="G118">
        <v>6</v>
      </c>
      <c r="H118">
        <v>0</v>
      </c>
      <c r="I118">
        <v>0</v>
      </c>
      <c r="J118">
        <v>0</v>
      </c>
      <c r="K118">
        <v>0</v>
      </c>
      <c r="L118">
        <v>69</v>
      </c>
      <c r="M118">
        <v>11868</v>
      </c>
      <c r="N118">
        <v>0</v>
      </c>
      <c r="O118">
        <v>1032</v>
      </c>
      <c r="P118">
        <v>10918.56</v>
      </c>
      <c r="Q118" t="s">
        <v>2</v>
      </c>
      <c r="R118">
        <v>5</v>
      </c>
      <c r="S118">
        <v>1083.5999999999999</v>
      </c>
      <c r="T118">
        <v>0</v>
      </c>
    </row>
    <row r="119" spans="1:20" x14ac:dyDescent="0.25">
      <c r="A119" t="s">
        <v>172</v>
      </c>
      <c r="B119" t="s">
        <v>1</v>
      </c>
      <c r="C119">
        <v>2</v>
      </c>
      <c r="D119">
        <v>70</v>
      </c>
      <c r="E119">
        <v>0</v>
      </c>
      <c r="F119">
        <v>0</v>
      </c>
      <c r="G119">
        <v>18</v>
      </c>
      <c r="H119">
        <v>0</v>
      </c>
      <c r="I119">
        <v>0</v>
      </c>
      <c r="J119">
        <v>0</v>
      </c>
      <c r="K119">
        <v>0</v>
      </c>
      <c r="L119">
        <v>54</v>
      </c>
      <c r="M119">
        <v>183.46</v>
      </c>
      <c r="N119">
        <v>6421.1</v>
      </c>
      <c r="O119">
        <v>1926</v>
      </c>
      <c r="P119">
        <v>4953.42</v>
      </c>
      <c r="Q119" t="s">
        <v>10</v>
      </c>
      <c r="R119">
        <v>5</v>
      </c>
      <c r="S119">
        <v>2022.3</v>
      </c>
      <c r="T119">
        <v>0</v>
      </c>
    </row>
    <row r="120" spans="1:20" x14ac:dyDescent="0.25">
      <c r="A120" t="s">
        <v>173</v>
      </c>
      <c r="B120" t="s">
        <v>32</v>
      </c>
      <c r="C120">
        <v>3</v>
      </c>
      <c r="D120">
        <v>20</v>
      </c>
      <c r="E120">
        <v>0</v>
      </c>
      <c r="F120">
        <v>0</v>
      </c>
      <c r="G120">
        <v>19</v>
      </c>
      <c r="H120">
        <v>0</v>
      </c>
      <c r="I120">
        <v>0</v>
      </c>
      <c r="J120">
        <v>0</v>
      </c>
      <c r="K120">
        <v>0</v>
      </c>
      <c r="L120">
        <v>4</v>
      </c>
      <c r="M120">
        <v>492.12</v>
      </c>
      <c r="N120">
        <v>3280.8</v>
      </c>
      <c r="O120">
        <v>3401</v>
      </c>
      <c r="P120">
        <v>656.16</v>
      </c>
      <c r="Q120" t="s">
        <v>2</v>
      </c>
      <c r="R120">
        <v>5</v>
      </c>
      <c r="S120">
        <v>3571.05</v>
      </c>
      <c r="T120">
        <v>0</v>
      </c>
    </row>
    <row r="121" spans="1:20" x14ac:dyDescent="0.25">
      <c r="A121" t="s">
        <v>174</v>
      </c>
      <c r="B121" t="s">
        <v>1</v>
      </c>
      <c r="C121">
        <v>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25</v>
      </c>
      <c r="M121">
        <v>2285.5</v>
      </c>
      <c r="N121">
        <v>0</v>
      </c>
      <c r="O121">
        <v>0</v>
      </c>
      <c r="P121">
        <v>2285.5</v>
      </c>
      <c r="Q121" t="s">
        <v>2</v>
      </c>
      <c r="R121">
        <v>5</v>
      </c>
      <c r="S121">
        <v>0</v>
      </c>
      <c r="T121">
        <v>0</v>
      </c>
    </row>
    <row r="122" spans="1:20" x14ac:dyDescent="0.25">
      <c r="A122" t="s">
        <v>175</v>
      </c>
      <c r="B122" t="s">
        <v>64</v>
      </c>
      <c r="C122">
        <v>103</v>
      </c>
      <c r="D122">
        <v>0</v>
      </c>
      <c r="E122">
        <v>0</v>
      </c>
      <c r="F122">
        <v>0</v>
      </c>
      <c r="G122">
        <v>33</v>
      </c>
      <c r="H122">
        <v>1</v>
      </c>
      <c r="I122">
        <v>0</v>
      </c>
      <c r="J122">
        <v>0</v>
      </c>
      <c r="K122">
        <v>0</v>
      </c>
      <c r="L122">
        <v>69</v>
      </c>
      <c r="M122">
        <v>15305.8</v>
      </c>
      <c r="N122">
        <v>0</v>
      </c>
      <c r="O122">
        <v>5543.72</v>
      </c>
      <c r="P122">
        <v>10253.4</v>
      </c>
      <c r="Q122" t="s">
        <v>2</v>
      </c>
      <c r="R122">
        <v>5</v>
      </c>
      <c r="S122">
        <v>5821.2</v>
      </c>
      <c r="T122">
        <v>176.4</v>
      </c>
    </row>
    <row r="123" spans="1:20" x14ac:dyDescent="0.25">
      <c r="A123" t="s">
        <v>176</v>
      </c>
      <c r="B123" t="s">
        <v>32</v>
      </c>
      <c r="C123">
        <v>21</v>
      </c>
      <c r="D123">
        <v>0</v>
      </c>
      <c r="E123">
        <v>0</v>
      </c>
      <c r="F123">
        <v>0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19</v>
      </c>
      <c r="M123">
        <v>1745.73</v>
      </c>
      <c r="N123">
        <v>0</v>
      </c>
      <c r="O123">
        <v>320</v>
      </c>
      <c r="P123">
        <v>1579.47</v>
      </c>
      <c r="Q123" t="s">
        <v>2</v>
      </c>
      <c r="R123">
        <v>5</v>
      </c>
      <c r="S123">
        <v>336</v>
      </c>
      <c r="T123">
        <v>0</v>
      </c>
    </row>
    <row r="124" spans="1:20" x14ac:dyDescent="0.25">
      <c r="A124" t="s">
        <v>177</v>
      </c>
      <c r="B124" t="s">
        <v>178</v>
      </c>
      <c r="C124">
        <v>12</v>
      </c>
      <c r="D124">
        <v>6</v>
      </c>
      <c r="E124">
        <v>0</v>
      </c>
      <c r="F124">
        <v>0</v>
      </c>
      <c r="G124">
        <v>13</v>
      </c>
      <c r="H124">
        <v>1</v>
      </c>
      <c r="I124">
        <v>0</v>
      </c>
      <c r="J124">
        <v>0</v>
      </c>
      <c r="K124">
        <v>0</v>
      </c>
      <c r="L124">
        <v>4</v>
      </c>
      <c r="M124">
        <v>2128.3200000000002</v>
      </c>
      <c r="N124">
        <v>1064.1600000000001</v>
      </c>
      <c r="O124">
        <v>2509</v>
      </c>
      <c r="P124">
        <v>709.44</v>
      </c>
      <c r="Q124" t="s">
        <v>2</v>
      </c>
      <c r="R124">
        <v>5</v>
      </c>
      <c r="S124">
        <v>2634.45</v>
      </c>
      <c r="T124">
        <v>202.65</v>
      </c>
    </row>
    <row r="125" spans="1:20" x14ac:dyDescent="0.25">
      <c r="A125" t="s">
        <v>179</v>
      </c>
      <c r="B125" t="s">
        <v>12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102.3</v>
      </c>
      <c r="N125">
        <v>0</v>
      </c>
      <c r="O125">
        <v>0</v>
      </c>
      <c r="P125">
        <v>102.3</v>
      </c>
      <c r="Q125" t="s">
        <v>10</v>
      </c>
      <c r="R125">
        <v>5</v>
      </c>
      <c r="S125">
        <v>0</v>
      </c>
      <c r="T125">
        <v>0</v>
      </c>
    </row>
    <row r="126" spans="1:20" x14ac:dyDescent="0.25">
      <c r="A126" t="s">
        <v>180</v>
      </c>
      <c r="B126" t="s">
        <v>141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</v>
      </c>
      <c r="M126">
        <v>272</v>
      </c>
      <c r="N126">
        <v>0</v>
      </c>
      <c r="O126">
        <v>0</v>
      </c>
      <c r="P126">
        <v>272</v>
      </c>
      <c r="Q126" t="s">
        <v>2</v>
      </c>
      <c r="R126">
        <v>5</v>
      </c>
      <c r="S126">
        <v>0</v>
      </c>
      <c r="T126">
        <v>0</v>
      </c>
    </row>
    <row r="127" spans="1:20" x14ac:dyDescent="0.25">
      <c r="A127" t="s">
        <v>181</v>
      </c>
      <c r="B127" t="s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</v>
      </c>
      <c r="R127">
        <v>5</v>
      </c>
      <c r="S127">
        <v>0</v>
      </c>
      <c r="T127">
        <v>0</v>
      </c>
    </row>
    <row r="128" spans="1:20" x14ac:dyDescent="0.25">
      <c r="A128" t="s">
        <v>182</v>
      </c>
      <c r="B128" t="s">
        <v>183</v>
      </c>
      <c r="C128">
        <v>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8</v>
      </c>
      <c r="M128">
        <v>2779.2</v>
      </c>
      <c r="N128">
        <v>0</v>
      </c>
      <c r="O128">
        <v>0</v>
      </c>
      <c r="P128">
        <v>2779.2</v>
      </c>
      <c r="Q128" t="s">
        <v>2</v>
      </c>
      <c r="R128">
        <v>5</v>
      </c>
      <c r="S128">
        <v>0</v>
      </c>
      <c r="T128">
        <v>0</v>
      </c>
    </row>
    <row r="129" spans="1:20" x14ac:dyDescent="0.25">
      <c r="A129" t="s">
        <v>184</v>
      </c>
      <c r="B129" t="s">
        <v>32</v>
      </c>
      <c r="C129">
        <v>1</v>
      </c>
      <c r="D129">
        <v>3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3</v>
      </c>
      <c r="M129">
        <v>180.16</v>
      </c>
      <c r="N129">
        <v>540.48</v>
      </c>
      <c r="O129">
        <v>197</v>
      </c>
      <c r="P129">
        <v>540.48</v>
      </c>
      <c r="Q129" t="s">
        <v>2</v>
      </c>
      <c r="R129">
        <v>5</v>
      </c>
      <c r="S129">
        <v>206.85</v>
      </c>
      <c r="T129">
        <v>0</v>
      </c>
    </row>
    <row r="130" spans="1:20" x14ac:dyDescent="0.25">
      <c r="A130" t="s">
        <v>185</v>
      </c>
      <c r="B130" t="s">
        <v>9</v>
      </c>
      <c r="C130">
        <v>18</v>
      </c>
      <c r="D130">
        <v>10</v>
      </c>
      <c r="E130">
        <v>0</v>
      </c>
      <c r="F130">
        <v>0</v>
      </c>
      <c r="G130">
        <v>7</v>
      </c>
      <c r="H130">
        <v>0</v>
      </c>
      <c r="I130">
        <v>0</v>
      </c>
      <c r="J130">
        <v>0</v>
      </c>
      <c r="K130">
        <v>0</v>
      </c>
      <c r="L130">
        <v>21</v>
      </c>
      <c r="M130">
        <v>2429.8200000000002</v>
      </c>
      <c r="N130">
        <v>1349.9</v>
      </c>
      <c r="O130">
        <v>1099.98</v>
      </c>
      <c r="P130">
        <v>2834.79</v>
      </c>
      <c r="Q130" t="s">
        <v>2</v>
      </c>
      <c r="R130">
        <v>5</v>
      </c>
      <c r="S130">
        <v>1154.98</v>
      </c>
      <c r="T130">
        <v>0</v>
      </c>
    </row>
    <row r="131" spans="1:20" x14ac:dyDescent="0.25">
      <c r="A131" t="s">
        <v>186</v>
      </c>
      <c r="B131" t="s">
        <v>187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66.150000000000006</v>
      </c>
      <c r="N131">
        <v>0</v>
      </c>
      <c r="O131">
        <v>0</v>
      </c>
      <c r="P131">
        <v>66.150000000000006</v>
      </c>
      <c r="Q131" t="s">
        <v>10</v>
      </c>
      <c r="R131">
        <v>5</v>
      </c>
      <c r="S131">
        <v>0</v>
      </c>
      <c r="T131">
        <v>0</v>
      </c>
    </row>
    <row r="132" spans="1:20" x14ac:dyDescent="0.25">
      <c r="A132" t="s">
        <v>188</v>
      </c>
      <c r="B132" t="s">
        <v>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</v>
      </c>
      <c r="R132">
        <v>5</v>
      </c>
      <c r="S132">
        <v>0</v>
      </c>
      <c r="T132">
        <v>0</v>
      </c>
    </row>
    <row r="133" spans="1:20" x14ac:dyDescent="0.25">
      <c r="A133" t="s">
        <v>189</v>
      </c>
      <c r="B133" t="s">
        <v>190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10</v>
      </c>
      <c r="R133">
        <v>5</v>
      </c>
      <c r="S133">
        <v>0</v>
      </c>
      <c r="T133">
        <v>0</v>
      </c>
    </row>
    <row r="134" spans="1:20" x14ac:dyDescent="0.25">
      <c r="A134" t="s">
        <v>191</v>
      </c>
      <c r="B134" t="s">
        <v>139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34.49</v>
      </c>
      <c r="N134">
        <v>0</v>
      </c>
      <c r="O134">
        <v>0</v>
      </c>
      <c r="P134">
        <v>34.49</v>
      </c>
      <c r="Q134" t="s">
        <v>2</v>
      </c>
      <c r="R134">
        <v>5</v>
      </c>
      <c r="S134">
        <v>0</v>
      </c>
      <c r="T134">
        <v>0</v>
      </c>
    </row>
    <row r="135" spans="1:20" x14ac:dyDescent="0.25">
      <c r="A135" t="s">
        <v>192</v>
      </c>
      <c r="B135" t="s">
        <v>141</v>
      </c>
      <c r="C135">
        <v>1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108.01</v>
      </c>
      <c r="N135">
        <v>0</v>
      </c>
      <c r="O135">
        <v>118</v>
      </c>
      <c r="P135">
        <v>0</v>
      </c>
      <c r="Q135" t="s">
        <v>151</v>
      </c>
      <c r="R135">
        <v>5</v>
      </c>
      <c r="S135">
        <v>123.9</v>
      </c>
      <c r="T135">
        <v>0</v>
      </c>
    </row>
    <row r="136" spans="1:20" x14ac:dyDescent="0.25">
      <c r="A136" t="s">
        <v>193</v>
      </c>
      <c r="B136" t="s">
        <v>27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</v>
      </c>
      <c r="R136">
        <v>5</v>
      </c>
      <c r="S136">
        <v>0</v>
      </c>
      <c r="T136">
        <v>0</v>
      </c>
    </row>
    <row r="137" spans="1:20" x14ac:dyDescent="0.25">
      <c r="A137" t="s">
        <v>194</v>
      </c>
      <c r="B137" t="s">
        <v>9</v>
      </c>
      <c r="C137">
        <v>39</v>
      </c>
      <c r="D137">
        <v>100</v>
      </c>
      <c r="E137">
        <v>0</v>
      </c>
      <c r="F137">
        <v>0</v>
      </c>
      <c r="G137">
        <v>64</v>
      </c>
      <c r="H137">
        <v>1</v>
      </c>
      <c r="I137">
        <v>0</v>
      </c>
      <c r="J137">
        <v>0</v>
      </c>
      <c r="K137">
        <v>0</v>
      </c>
      <c r="L137">
        <v>74</v>
      </c>
      <c r="M137">
        <v>6453.33</v>
      </c>
      <c r="N137">
        <v>16547</v>
      </c>
      <c r="O137">
        <v>11672</v>
      </c>
      <c r="P137">
        <v>12244.78</v>
      </c>
      <c r="Q137" t="s">
        <v>10</v>
      </c>
      <c r="R137">
        <v>5</v>
      </c>
      <c r="S137">
        <v>12566.4</v>
      </c>
      <c r="T137">
        <v>196.35</v>
      </c>
    </row>
    <row r="138" spans="1:20" x14ac:dyDescent="0.25">
      <c r="A138" t="s">
        <v>195</v>
      </c>
      <c r="B138" t="s">
        <v>158</v>
      </c>
      <c r="C138">
        <v>45</v>
      </c>
      <c r="D138">
        <v>0</v>
      </c>
      <c r="E138">
        <v>0</v>
      </c>
      <c r="F138">
        <v>0</v>
      </c>
      <c r="G138">
        <v>7</v>
      </c>
      <c r="H138">
        <v>0</v>
      </c>
      <c r="I138">
        <v>0</v>
      </c>
      <c r="J138">
        <v>0</v>
      </c>
      <c r="K138">
        <v>0</v>
      </c>
      <c r="L138">
        <v>38</v>
      </c>
      <c r="M138">
        <v>4525.2</v>
      </c>
      <c r="N138">
        <v>0</v>
      </c>
      <c r="O138">
        <v>794.01</v>
      </c>
      <c r="P138">
        <v>3821.28</v>
      </c>
      <c r="Q138" t="s">
        <v>2</v>
      </c>
      <c r="R138">
        <v>5</v>
      </c>
      <c r="S138">
        <v>833.71</v>
      </c>
      <c r="T138">
        <v>0</v>
      </c>
    </row>
    <row r="139" spans="1:20" x14ac:dyDescent="0.25">
      <c r="A139" t="s">
        <v>196</v>
      </c>
      <c r="B139" t="s">
        <v>1</v>
      </c>
      <c r="C139">
        <v>23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23</v>
      </c>
      <c r="M139">
        <v>3349.49</v>
      </c>
      <c r="N139">
        <v>0</v>
      </c>
      <c r="O139">
        <v>0</v>
      </c>
      <c r="P139">
        <v>3349.49</v>
      </c>
      <c r="Q139" t="s">
        <v>2</v>
      </c>
      <c r="R139">
        <v>5</v>
      </c>
      <c r="S139">
        <v>0</v>
      </c>
      <c r="T139">
        <v>0</v>
      </c>
    </row>
    <row r="140" spans="1:20" x14ac:dyDescent="0.25">
      <c r="A140" t="s">
        <v>197</v>
      </c>
      <c r="B140" t="s">
        <v>14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15</v>
      </c>
      <c r="R140">
        <v>5</v>
      </c>
      <c r="S140">
        <v>0</v>
      </c>
      <c r="T140">
        <v>0</v>
      </c>
    </row>
    <row r="141" spans="1:20" x14ac:dyDescent="0.25">
      <c r="A141" t="s">
        <v>198</v>
      </c>
      <c r="B141" t="s">
        <v>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</v>
      </c>
      <c r="R141">
        <v>5</v>
      </c>
      <c r="S141">
        <v>0</v>
      </c>
      <c r="T141">
        <v>0</v>
      </c>
    </row>
    <row r="142" spans="1:20" x14ac:dyDescent="0.25">
      <c r="A142" t="s">
        <v>199</v>
      </c>
      <c r="B142" t="s">
        <v>200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151</v>
      </c>
      <c r="R142">
        <v>5</v>
      </c>
      <c r="S142">
        <v>0</v>
      </c>
      <c r="T142">
        <v>0</v>
      </c>
    </row>
    <row r="143" spans="1:20" x14ac:dyDescent="0.25">
      <c r="A143" t="s">
        <v>201</v>
      </c>
      <c r="B143" t="s">
        <v>1</v>
      </c>
      <c r="C143">
        <v>0</v>
      </c>
      <c r="D143">
        <v>19</v>
      </c>
      <c r="E143">
        <v>1</v>
      </c>
      <c r="F143">
        <v>0</v>
      </c>
      <c r="G143">
        <v>10</v>
      </c>
      <c r="H143">
        <v>0</v>
      </c>
      <c r="I143">
        <v>0</v>
      </c>
      <c r="J143">
        <v>0</v>
      </c>
      <c r="K143">
        <v>0</v>
      </c>
      <c r="L143">
        <v>10</v>
      </c>
      <c r="M143">
        <v>0</v>
      </c>
      <c r="N143">
        <v>1492.07</v>
      </c>
      <c r="O143">
        <v>853.6</v>
      </c>
      <c r="P143">
        <v>785.3</v>
      </c>
      <c r="Q143" t="s">
        <v>10</v>
      </c>
      <c r="R143">
        <v>5</v>
      </c>
      <c r="S143">
        <v>896.28</v>
      </c>
      <c r="T143">
        <v>0</v>
      </c>
    </row>
    <row r="144" spans="1:20" x14ac:dyDescent="0.25">
      <c r="A144" t="s">
        <v>201</v>
      </c>
      <c r="B144" t="s">
        <v>32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</v>
      </c>
      <c r="R144">
        <v>5</v>
      </c>
      <c r="S144">
        <v>0</v>
      </c>
      <c r="T144">
        <v>0</v>
      </c>
    </row>
    <row r="145" spans="1:20" x14ac:dyDescent="0.25">
      <c r="A145" t="s">
        <v>202</v>
      </c>
      <c r="B145" t="s">
        <v>141</v>
      </c>
      <c r="C145">
        <v>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9</v>
      </c>
      <c r="M145">
        <v>1151.9100000000001</v>
      </c>
      <c r="N145">
        <v>0</v>
      </c>
      <c r="O145">
        <v>0</v>
      </c>
      <c r="P145">
        <v>1151.9100000000001</v>
      </c>
      <c r="Q145" t="s">
        <v>2</v>
      </c>
      <c r="R145">
        <v>5</v>
      </c>
      <c r="S145">
        <v>0</v>
      </c>
      <c r="T145">
        <v>0</v>
      </c>
    </row>
    <row r="146" spans="1:20" x14ac:dyDescent="0.25">
      <c r="A146" t="s">
        <v>203</v>
      </c>
      <c r="B146" t="s">
        <v>141</v>
      </c>
      <c r="C146">
        <v>13</v>
      </c>
      <c r="D146">
        <v>9</v>
      </c>
      <c r="E146">
        <v>1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22</v>
      </c>
      <c r="M146">
        <v>2086.89</v>
      </c>
      <c r="N146">
        <v>1444.77</v>
      </c>
      <c r="O146">
        <v>175</v>
      </c>
      <c r="P146">
        <v>3531.66</v>
      </c>
      <c r="Q146" t="s">
        <v>2</v>
      </c>
      <c r="R146">
        <v>5</v>
      </c>
      <c r="S146">
        <v>183.75</v>
      </c>
      <c r="T146">
        <v>0</v>
      </c>
    </row>
    <row r="147" spans="1:20" x14ac:dyDescent="0.25">
      <c r="A147" t="s">
        <v>204</v>
      </c>
      <c r="B147" t="s">
        <v>9</v>
      </c>
      <c r="C147">
        <v>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</v>
      </c>
      <c r="M147">
        <v>256.68</v>
      </c>
      <c r="N147">
        <v>0</v>
      </c>
      <c r="O147">
        <v>0</v>
      </c>
      <c r="P147">
        <v>256.68</v>
      </c>
      <c r="Q147" t="s">
        <v>2</v>
      </c>
      <c r="R147">
        <v>5</v>
      </c>
      <c r="S147">
        <v>0</v>
      </c>
      <c r="T147">
        <v>0</v>
      </c>
    </row>
    <row r="148" spans="1:20" x14ac:dyDescent="0.25">
      <c r="A148" t="s">
        <v>205</v>
      </c>
      <c r="B148" t="s">
        <v>39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</v>
      </c>
      <c r="R148">
        <v>5</v>
      </c>
      <c r="S148">
        <v>0</v>
      </c>
      <c r="T148">
        <v>0</v>
      </c>
    </row>
    <row r="149" spans="1:20" x14ac:dyDescent="0.25">
      <c r="A149" t="s">
        <v>206</v>
      </c>
      <c r="B149" t="s">
        <v>183</v>
      </c>
      <c r="C149">
        <v>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7</v>
      </c>
      <c r="M149">
        <v>2431.8000000000002</v>
      </c>
      <c r="N149">
        <v>0</v>
      </c>
      <c r="O149">
        <v>0</v>
      </c>
      <c r="P149">
        <v>2431.8000000000002</v>
      </c>
      <c r="Q149" t="s">
        <v>2</v>
      </c>
      <c r="R149">
        <v>5</v>
      </c>
      <c r="S149">
        <v>0</v>
      </c>
      <c r="T149">
        <v>0</v>
      </c>
    </row>
    <row r="150" spans="1:20" x14ac:dyDescent="0.25">
      <c r="A150" t="s">
        <v>207</v>
      </c>
      <c r="B150" t="s">
        <v>9</v>
      </c>
      <c r="C150">
        <v>26</v>
      </c>
      <c r="D150">
        <v>30</v>
      </c>
      <c r="E150">
        <v>0</v>
      </c>
      <c r="F150">
        <v>0</v>
      </c>
      <c r="G150">
        <v>25</v>
      </c>
      <c r="H150">
        <v>2</v>
      </c>
      <c r="I150">
        <v>0</v>
      </c>
      <c r="J150">
        <v>0</v>
      </c>
      <c r="K150">
        <v>0</v>
      </c>
      <c r="L150">
        <v>29</v>
      </c>
      <c r="M150">
        <v>4378.1400000000003</v>
      </c>
      <c r="N150">
        <v>5051.7</v>
      </c>
      <c r="O150">
        <v>4910.5</v>
      </c>
      <c r="P150">
        <v>4883.3100000000004</v>
      </c>
      <c r="Q150" t="s">
        <v>2</v>
      </c>
      <c r="R150">
        <v>5</v>
      </c>
      <c r="S150">
        <v>5156.03</v>
      </c>
      <c r="T150">
        <v>412.48</v>
      </c>
    </row>
    <row r="151" spans="1:20" x14ac:dyDescent="0.25">
      <c r="A151" t="s">
        <v>208</v>
      </c>
      <c r="B151" t="s">
        <v>32</v>
      </c>
      <c r="C151">
        <v>16</v>
      </c>
      <c r="D151">
        <v>10</v>
      </c>
      <c r="E151">
        <v>1</v>
      </c>
      <c r="F151">
        <v>0</v>
      </c>
      <c r="G151">
        <v>3</v>
      </c>
      <c r="H151">
        <v>0</v>
      </c>
      <c r="I151">
        <v>0</v>
      </c>
      <c r="J151">
        <v>0</v>
      </c>
      <c r="K151">
        <v>0</v>
      </c>
      <c r="L151">
        <v>24</v>
      </c>
      <c r="M151">
        <v>2523.6799999999998</v>
      </c>
      <c r="N151">
        <v>1577.3</v>
      </c>
      <c r="O151">
        <v>514.35</v>
      </c>
      <c r="P151">
        <v>3785.52</v>
      </c>
      <c r="Q151" t="s">
        <v>2</v>
      </c>
      <c r="R151">
        <v>5</v>
      </c>
      <c r="S151">
        <v>540.07000000000005</v>
      </c>
      <c r="T151">
        <v>0</v>
      </c>
    </row>
    <row r="152" spans="1:20" x14ac:dyDescent="0.25">
      <c r="A152" t="s">
        <v>209</v>
      </c>
      <c r="B152" t="s">
        <v>64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</v>
      </c>
      <c r="M152">
        <v>127.86</v>
      </c>
      <c r="N152">
        <v>0</v>
      </c>
      <c r="O152">
        <v>0</v>
      </c>
      <c r="P152">
        <v>127.86</v>
      </c>
      <c r="Q152" t="s">
        <v>2</v>
      </c>
      <c r="R152">
        <v>5</v>
      </c>
      <c r="S152">
        <v>0</v>
      </c>
      <c r="T152">
        <v>0</v>
      </c>
    </row>
    <row r="153" spans="1:20" x14ac:dyDescent="0.25">
      <c r="A153" t="s">
        <v>210</v>
      </c>
      <c r="B153" t="s">
        <v>12</v>
      </c>
      <c r="C153">
        <v>13</v>
      </c>
      <c r="D153">
        <v>0</v>
      </c>
      <c r="E153">
        <v>0</v>
      </c>
      <c r="F153">
        <v>0</v>
      </c>
      <c r="G153">
        <v>4</v>
      </c>
      <c r="H153">
        <v>0</v>
      </c>
      <c r="I153">
        <v>0</v>
      </c>
      <c r="J153">
        <v>0</v>
      </c>
      <c r="K153">
        <v>0</v>
      </c>
      <c r="L153">
        <v>9</v>
      </c>
      <c r="M153">
        <v>2674.36</v>
      </c>
      <c r="N153">
        <v>0</v>
      </c>
      <c r="O153">
        <v>916</v>
      </c>
      <c r="P153">
        <v>1851.48</v>
      </c>
      <c r="Q153" t="s">
        <v>2</v>
      </c>
      <c r="R153">
        <v>5</v>
      </c>
      <c r="S153">
        <v>961.8</v>
      </c>
      <c r="T153">
        <v>0</v>
      </c>
    </row>
    <row r="154" spans="1:20" x14ac:dyDescent="0.25">
      <c r="A154" t="s">
        <v>211</v>
      </c>
      <c r="B154" t="s">
        <v>14</v>
      </c>
      <c r="C154">
        <v>15</v>
      </c>
      <c r="D154">
        <v>0</v>
      </c>
      <c r="E154">
        <v>0</v>
      </c>
      <c r="F154">
        <v>0</v>
      </c>
      <c r="G154">
        <v>12</v>
      </c>
      <c r="H154">
        <v>0</v>
      </c>
      <c r="I154">
        <v>0</v>
      </c>
      <c r="J154">
        <v>0</v>
      </c>
      <c r="K154">
        <v>0</v>
      </c>
      <c r="L154">
        <v>3</v>
      </c>
      <c r="M154">
        <v>2948.7</v>
      </c>
      <c r="N154">
        <v>0</v>
      </c>
      <c r="O154">
        <v>2748</v>
      </c>
      <c r="P154">
        <v>589.74</v>
      </c>
      <c r="Q154" t="s">
        <v>15</v>
      </c>
      <c r="R154">
        <v>5</v>
      </c>
      <c r="S154">
        <v>2885.4</v>
      </c>
      <c r="T154">
        <v>0</v>
      </c>
    </row>
    <row r="155" spans="1:20" x14ac:dyDescent="0.25">
      <c r="A155" t="s">
        <v>212</v>
      </c>
      <c r="B155" t="s">
        <v>32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</v>
      </c>
      <c r="M155">
        <v>126.84</v>
      </c>
      <c r="N155">
        <v>0</v>
      </c>
      <c r="O155">
        <v>0</v>
      </c>
      <c r="P155">
        <v>126.84</v>
      </c>
      <c r="Q155" t="s">
        <v>213</v>
      </c>
      <c r="R155">
        <v>5</v>
      </c>
      <c r="S155">
        <v>0</v>
      </c>
      <c r="T155">
        <v>0</v>
      </c>
    </row>
    <row r="156" spans="1:20" x14ac:dyDescent="0.25">
      <c r="A156" t="s">
        <v>214</v>
      </c>
      <c r="B156" t="s">
        <v>12</v>
      </c>
      <c r="C156">
        <v>15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</v>
      </c>
      <c r="M156">
        <v>2352.3000000000002</v>
      </c>
      <c r="N156">
        <v>0</v>
      </c>
      <c r="O156">
        <v>0</v>
      </c>
      <c r="P156">
        <v>2352.3000000000002</v>
      </c>
      <c r="Q156" t="s">
        <v>15</v>
      </c>
      <c r="R156">
        <v>5</v>
      </c>
      <c r="S156">
        <v>0</v>
      </c>
      <c r="T156">
        <v>0</v>
      </c>
    </row>
    <row r="157" spans="1:20" x14ac:dyDescent="0.25">
      <c r="A157" t="s">
        <v>215</v>
      </c>
      <c r="B157" t="s">
        <v>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</v>
      </c>
      <c r="R157">
        <v>5</v>
      </c>
      <c r="S157">
        <v>0</v>
      </c>
      <c r="T157">
        <v>0</v>
      </c>
    </row>
    <row r="158" spans="1:20" x14ac:dyDescent="0.25">
      <c r="A158" t="s">
        <v>216</v>
      </c>
      <c r="B158" t="s">
        <v>23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5</v>
      </c>
      <c r="R158">
        <v>28</v>
      </c>
      <c r="S158">
        <v>0</v>
      </c>
      <c r="T158">
        <v>0</v>
      </c>
    </row>
    <row r="159" spans="1:20" x14ac:dyDescent="0.25">
      <c r="A159" t="s">
        <v>217</v>
      </c>
      <c r="B159" t="s">
        <v>9</v>
      </c>
      <c r="C159">
        <v>15</v>
      </c>
      <c r="D159">
        <v>0</v>
      </c>
      <c r="E159">
        <v>0</v>
      </c>
      <c r="F159">
        <v>0</v>
      </c>
      <c r="G159">
        <v>3</v>
      </c>
      <c r="H159">
        <v>0</v>
      </c>
      <c r="I159">
        <v>0</v>
      </c>
      <c r="J159">
        <v>0</v>
      </c>
      <c r="K159">
        <v>0</v>
      </c>
      <c r="L159">
        <v>12</v>
      </c>
      <c r="M159">
        <v>2616.75</v>
      </c>
      <c r="N159">
        <v>0</v>
      </c>
      <c r="O159">
        <v>570</v>
      </c>
      <c r="P159">
        <v>2093.4</v>
      </c>
      <c r="Q159" t="s">
        <v>2</v>
      </c>
      <c r="R159">
        <v>5</v>
      </c>
      <c r="S159">
        <v>598.5</v>
      </c>
      <c r="T159">
        <v>0</v>
      </c>
    </row>
    <row r="160" spans="1:20" x14ac:dyDescent="0.25">
      <c r="A160" t="s">
        <v>218</v>
      </c>
      <c r="B160" t="s">
        <v>219</v>
      </c>
      <c r="C160">
        <v>11</v>
      </c>
      <c r="D160">
        <v>0</v>
      </c>
      <c r="E160">
        <v>0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8</v>
      </c>
      <c r="M160">
        <v>1295.47</v>
      </c>
      <c r="N160">
        <v>0</v>
      </c>
      <c r="O160">
        <v>384.03</v>
      </c>
      <c r="P160">
        <v>942.16</v>
      </c>
      <c r="Q160" t="s">
        <v>2</v>
      </c>
      <c r="R160">
        <v>5</v>
      </c>
      <c r="S160">
        <v>403.23</v>
      </c>
      <c r="T160">
        <v>0</v>
      </c>
    </row>
    <row r="161" spans="1:20" x14ac:dyDescent="0.25">
      <c r="A161" t="s">
        <v>220</v>
      </c>
      <c r="B161" t="s">
        <v>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10</v>
      </c>
      <c r="R161">
        <v>5</v>
      </c>
      <c r="S161">
        <v>0</v>
      </c>
      <c r="T161">
        <v>0</v>
      </c>
    </row>
    <row r="162" spans="1:20" x14ac:dyDescent="0.25">
      <c r="A162" t="s">
        <v>221</v>
      </c>
      <c r="B162" t="s">
        <v>12</v>
      </c>
      <c r="C162">
        <v>9</v>
      </c>
      <c r="D162">
        <v>0</v>
      </c>
      <c r="E162">
        <v>0</v>
      </c>
      <c r="F162">
        <v>0</v>
      </c>
      <c r="G162">
        <v>4</v>
      </c>
      <c r="H162">
        <v>0</v>
      </c>
      <c r="I162">
        <v>0</v>
      </c>
      <c r="J162">
        <v>0</v>
      </c>
      <c r="K162">
        <v>0</v>
      </c>
      <c r="L162">
        <v>5</v>
      </c>
      <c r="M162">
        <v>1916.55</v>
      </c>
      <c r="N162">
        <v>0</v>
      </c>
      <c r="O162">
        <v>992</v>
      </c>
      <c r="P162">
        <v>1064.75</v>
      </c>
      <c r="Q162" t="s">
        <v>2</v>
      </c>
      <c r="R162">
        <v>5</v>
      </c>
      <c r="S162">
        <v>1041.5999999999999</v>
      </c>
      <c r="T162">
        <v>0</v>
      </c>
    </row>
    <row r="163" spans="1:20" x14ac:dyDescent="0.25">
      <c r="A163" t="s">
        <v>222</v>
      </c>
      <c r="B163" t="s">
        <v>223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</v>
      </c>
      <c r="R163">
        <v>5</v>
      </c>
      <c r="S163">
        <v>0</v>
      </c>
      <c r="T163">
        <v>0</v>
      </c>
    </row>
    <row r="164" spans="1:20" x14ac:dyDescent="0.25">
      <c r="A164" t="s">
        <v>224</v>
      </c>
      <c r="B164" t="s">
        <v>225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</v>
      </c>
      <c r="R164">
        <v>5</v>
      </c>
      <c r="S164">
        <v>0</v>
      </c>
      <c r="T164">
        <v>0</v>
      </c>
    </row>
    <row r="165" spans="1:20" x14ac:dyDescent="0.25">
      <c r="A165" t="s">
        <v>226</v>
      </c>
      <c r="B165" t="s">
        <v>32</v>
      </c>
      <c r="C165">
        <v>28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28</v>
      </c>
      <c r="M165">
        <v>2744.28</v>
      </c>
      <c r="N165">
        <v>0</v>
      </c>
      <c r="O165">
        <v>0</v>
      </c>
      <c r="P165">
        <v>2744.28</v>
      </c>
      <c r="Q165" t="s">
        <v>227</v>
      </c>
      <c r="R165">
        <v>5</v>
      </c>
      <c r="S165">
        <v>0</v>
      </c>
      <c r="T165">
        <v>0</v>
      </c>
    </row>
    <row r="166" spans="1:20" x14ac:dyDescent="0.25">
      <c r="A166" t="s">
        <v>228</v>
      </c>
      <c r="B166" t="s">
        <v>9</v>
      </c>
      <c r="C166">
        <v>60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60</v>
      </c>
      <c r="M166">
        <v>7840.2</v>
      </c>
      <c r="N166">
        <v>0</v>
      </c>
      <c r="O166">
        <v>0</v>
      </c>
      <c r="P166">
        <v>7840.2</v>
      </c>
      <c r="Q166" t="s">
        <v>227</v>
      </c>
      <c r="R166">
        <v>5</v>
      </c>
      <c r="S166">
        <v>0</v>
      </c>
      <c r="T166">
        <v>0</v>
      </c>
    </row>
    <row r="167" spans="1:20" x14ac:dyDescent="0.25">
      <c r="A167" t="s">
        <v>229</v>
      </c>
      <c r="B167" t="s">
        <v>12</v>
      </c>
      <c r="C167">
        <v>54</v>
      </c>
      <c r="D167">
        <v>0</v>
      </c>
      <c r="E167">
        <v>0</v>
      </c>
      <c r="F167">
        <v>0</v>
      </c>
      <c r="G167">
        <v>5</v>
      </c>
      <c r="H167">
        <v>0</v>
      </c>
      <c r="I167">
        <v>0</v>
      </c>
      <c r="J167">
        <v>0</v>
      </c>
      <c r="K167">
        <v>0</v>
      </c>
      <c r="L167">
        <v>49</v>
      </c>
      <c r="M167">
        <v>10997.64</v>
      </c>
      <c r="N167">
        <v>0</v>
      </c>
      <c r="O167">
        <v>1145</v>
      </c>
      <c r="P167">
        <v>9979.34</v>
      </c>
      <c r="Q167" t="s">
        <v>2</v>
      </c>
      <c r="R167">
        <v>5</v>
      </c>
      <c r="S167">
        <v>1202.25</v>
      </c>
      <c r="T167">
        <v>0</v>
      </c>
    </row>
    <row r="168" spans="1:20" x14ac:dyDescent="0.25">
      <c r="A168" t="s">
        <v>230</v>
      </c>
      <c r="B168" t="s">
        <v>32</v>
      </c>
      <c r="C168">
        <v>24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24</v>
      </c>
      <c r="M168">
        <v>2430.7199999999998</v>
      </c>
      <c r="N168">
        <v>0</v>
      </c>
      <c r="O168">
        <v>0</v>
      </c>
      <c r="P168">
        <v>2430.7199999999998</v>
      </c>
      <c r="Q168" t="s">
        <v>2</v>
      </c>
      <c r="R168">
        <v>5</v>
      </c>
      <c r="S168">
        <v>0</v>
      </c>
      <c r="T168">
        <v>0</v>
      </c>
    </row>
    <row r="169" spans="1:20" x14ac:dyDescent="0.25">
      <c r="A169" t="s">
        <v>231</v>
      </c>
      <c r="B169" t="s">
        <v>12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102.3</v>
      </c>
      <c r="N169">
        <v>0</v>
      </c>
      <c r="O169">
        <v>0</v>
      </c>
      <c r="P169">
        <v>102.3</v>
      </c>
      <c r="Q169" t="s">
        <v>2</v>
      </c>
      <c r="R169">
        <v>5</v>
      </c>
      <c r="S169">
        <v>0</v>
      </c>
      <c r="T169">
        <v>0</v>
      </c>
    </row>
    <row r="170" spans="1:20" x14ac:dyDescent="0.25">
      <c r="A170" t="s">
        <v>232</v>
      </c>
      <c r="B170" t="s">
        <v>32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72.98</v>
      </c>
      <c r="N170">
        <v>0</v>
      </c>
      <c r="O170">
        <v>0</v>
      </c>
      <c r="P170">
        <v>72.98</v>
      </c>
      <c r="Q170" t="s">
        <v>2</v>
      </c>
      <c r="R170">
        <v>5</v>
      </c>
      <c r="S170">
        <v>0</v>
      </c>
      <c r="T170">
        <v>0</v>
      </c>
    </row>
    <row r="171" spans="1:20" x14ac:dyDescent="0.25">
      <c r="A171" t="s">
        <v>233</v>
      </c>
      <c r="B171" t="s">
        <v>27</v>
      </c>
      <c r="C171">
        <v>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</v>
      </c>
      <c r="M171">
        <v>205.3</v>
      </c>
      <c r="N171">
        <v>0</v>
      </c>
      <c r="O171">
        <v>0</v>
      </c>
      <c r="P171">
        <v>205.3</v>
      </c>
      <c r="Q171" t="s">
        <v>2</v>
      </c>
      <c r="R171">
        <v>5</v>
      </c>
      <c r="S171">
        <v>0</v>
      </c>
      <c r="T171">
        <v>0</v>
      </c>
    </row>
    <row r="172" spans="1:20" x14ac:dyDescent="0.25">
      <c r="A172" t="s">
        <v>234</v>
      </c>
      <c r="B172" t="s">
        <v>12</v>
      </c>
      <c r="C172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</v>
      </c>
      <c r="M172">
        <v>204.6</v>
      </c>
      <c r="N172">
        <v>0</v>
      </c>
      <c r="O172">
        <v>0</v>
      </c>
      <c r="P172">
        <v>204.6</v>
      </c>
      <c r="Q172" t="s">
        <v>2</v>
      </c>
      <c r="R172">
        <v>5</v>
      </c>
      <c r="S172">
        <v>0</v>
      </c>
      <c r="T172">
        <v>0</v>
      </c>
    </row>
    <row r="173" spans="1:20" x14ac:dyDescent="0.25">
      <c r="A173" t="s">
        <v>235</v>
      </c>
      <c r="B173" t="s">
        <v>9</v>
      </c>
      <c r="C173">
        <v>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4</v>
      </c>
      <c r="M173">
        <v>414.64</v>
      </c>
      <c r="N173">
        <v>0</v>
      </c>
      <c r="O173">
        <v>0</v>
      </c>
      <c r="P173">
        <v>414.64</v>
      </c>
      <c r="Q173" t="s">
        <v>15</v>
      </c>
      <c r="R173">
        <v>5</v>
      </c>
      <c r="S173">
        <v>0</v>
      </c>
      <c r="T173">
        <v>0</v>
      </c>
    </row>
    <row r="174" spans="1:20" x14ac:dyDescent="0.25">
      <c r="A174" t="s">
        <v>236</v>
      </c>
      <c r="B174" t="s">
        <v>236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236</v>
      </c>
      <c r="R174">
        <v>0</v>
      </c>
      <c r="S174">
        <v>0</v>
      </c>
      <c r="T174">
        <v>0</v>
      </c>
    </row>
    <row r="175" spans="1:20" x14ac:dyDescent="0.25">
      <c r="A175" t="s">
        <v>236</v>
      </c>
      <c r="B175" t="s">
        <v>236</v>
      </c>
      <c r="C175">
        <v>2900</v>
      </c>
      <c r="D175">
        <v>723</v>
      </c>
      <c r="E175">
        <v>0</v>
      </c>
      <c r="F175">
        <v>0</v>
      </c>
      <c r="G175">
        <v>900</v>
      </c>
      <c r="H175">
        <v>0</v>
      </c>
      <c r="I175">
        <v>0</v>
      </c>
      <c r="J175">
        <v>0</v>
      </c>
      <c r="K175">
        <v>0</v>
      </c>
      <c r="L175">
        <v>2714</v>
      </c>
      <c r="M175">
        <v>310546.27</v>
      </c>
      <c r="N175">
        <v>87826.880000000005</v>
      </c>
      <c r="O175">
        <v>121284.47</v>
      </c>
      <c r="P175">
        <v>292352.89</v>
      </c>
      <c r="Q175" t="s">
        <v>236</v>
      </c>
      <c r="R175">
        <v>0</v>
      </c>
      <c r="S175">
        <v>0</v>
      </c>
      <c r="T175">
        <v>0</v>
      </c>
    </row>
    <row r="176" spans="1:20" x14ac:dyDescent="0.25">
      <c r="A176" t="s">
        <v>236</v>
      </c>
      <c r="B176" t="s">
        <v>236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236</v>
      </c>
      <c r="R176">
        <v>0</v>
      </c>
      <c r="S176">
        <v>0</v>
      </c>
      <c r="T176">
        <v>0</v>
      </c>
    </row>
    <row r="177" spans="1:20" x14ac:dyDescent="0.25">
      <c r="A177" t="s">
        <v>237</v>
      </c>
      <c r="B177" t="s">
        <v>236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236</v>
      </c>
      <c r="R177">
        <v>0</v>
      </c>
      <c r="S177">
        <v>0</v>
      </c>
      <c r="T177">
        <v>0</v>
      </c>
    </row>
    <row r="178" spans="1:20" x14ac:dyDescent="0.25">
      <c r="A178" t="s">
        <v>238</v>
      </c>
      <c r="B178" t="s">
        <v>236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236</v>
      </c>
      <c r="R178">
        <v>0</v>
      </c>
      <c r="S178">
        <v>0</v>
      </c>
      <c r="T178">
        <v>0</v>
      </c>
    </row>
    <row r="179" spans="1:20" x14ac:dyDescent="0.25">
      <c r="A179" t="s">
        <v>239</v>
      </c>
      <c r="B179" t="s">
        <v>236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236</v>
      </c>
      <c r="R179">
        <v>0</v>
      </c>
      <c r="S179">
        <v>0</v>
      </c>
      <c r="T179">
        <v>0</v>
      </c>
    </row>
    <row r="180" spans="1:20" x14ac:dyDescent="0.25">
      <c r="A180" t="s">
        <v>240</v>
      </c>
      <c r="B180" t="s">
        <v>236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236</v>
      </c>
      <c r="R180">
        <v>0</v>
      </c>
      <c r="S180">
        <v>0</v>
      </c>
      <c r="T180">
        <v>0</v>
      </c>
    </row>
    <row r="181" spans="1:20" x14ac:dyDescent="0.25">
      <c r="A181" t="s">
        <v>241</v>
      </c>
      <c r="B181" t="s">
        <v>236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236</v>
      </c>
      <c r="R181">
        <v>0</v>
      </c>
      <c r="S181">
        <v>0</v>
      </c>
      <c r="T181">
        <v>0</v>
      </c>
    </row>
    <row r="182" spans="1:20" x14ac:dyDescent="0.25">
      <c r="A182" t="s">
        <v>242</v>
      </c>
      <c r="B182" t="s">
        <v>236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236</v>
      </c>
      <c r="R182">
        <v>0</v>
      </c>
      <c r="S182">
        <v>0</v>
      </c>
      <c r="T182">
        <v>0</v>
      </c>
    </row>
    <row r="183" spans="1:20" x14ac:dyDescent="0.25">
      <c r="A183" t="s">
        <v>243</v>
      </c>
      <c r="B183" t="s">
        <v>236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236</v>
      </c>
      <c r="R183">
        <v>0</v>
      </c>
      <c r="S183">
        <v>0</v>
      </c>
      <c r="T183">
        <v>0</v>
      </c>
    </row>
    <row r="184" spans="1:20" x14ac:dyDescent="0.25">
      <c r="A184" t="s">
        <v>244</v>
      </c>
      <c r="B184" t="s">
        <v>236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236</v>
      </c>
      <c r="R184">
        <v>0</v>
      </c>
      <c r="S184">
        <v>0</v>
      </c>
      <c r="T184">
        <v>0</v>
      </c>
    </row>
    <row r="185" spans="1:20" x14ac:dyDescent="0.25">
      <c r="A185" t="s">
        <v>236</v>
      </c>
      <c r="B185" t="s">
        <v>236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236</v>
      </c>
      <c r="R185">
        <v>0</v>
      </c>
      <c r="S185">
        <v>0</v>
      </c>
      <c r="T185">
        <v>0</v>
      </c>
    </row>
  </sheetData>
  <mergeCells count="6">
    <mergeCell ref="A1:T1"/>
    <mergeCell ref="A2:T2"/>
    <mergeCell ref="A3:T3"/>
    <mergeCell ref="A4:T4"/>
    <mergeCell ref="A5:T5"/>
    <mergeCell ref="A6:T6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HIMALAYA_SEP26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2026-10-01T14:39:29Z</dcterms:created>
  <dcterms:modified xsi:type="dcterms:W3CDTF">2026-10-01T14:39:29Z</dcterms:modified>
</cp:coreProperties>
</file>