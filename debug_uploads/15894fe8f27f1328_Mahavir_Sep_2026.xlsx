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f21\AC\Temp\"/>
    </mc:Choice>
  </mc:AlternateContent>
  <xr:revisionPtr revIDLastSave="0" documentId="8_{E30C7917-A988-CF45-913D-959C29BED716}" xr6:coauthVersionLast="47" xr6:coauthVersionMax="47" xr10:uidLastSave="{00000000-0000-0000-0000-000000000000}"/>
  <bookViews>
    <workbookView xWindow="-60" yWindow="-60" windowWidth="15480" windowHeight="11640" xr2:uid="{C6C8AC56-5DB4-4CAD-AFE2-F88606438ED0}"/>
  </bookViews>
  <sheets>
    <sheet name="sep182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</calcChain>
</file>

<file path=xl/sharedStrings.xml><?xml version="1.0" encoding="utf-8"?>
<sst xmlns="http://schemas.openxmlformats.org/spreadsheetml/2006/main" count="427" uniqueCount="206">
  <si>
    <t xml:space="preserve">MAHAVIR MEDICAL &amp; GENERAL STORES        </t>
  </si>
  <si>
    <t>S.NO.60/1,PLOT NO.30,32,PROP.NO.1635,    From : 01/09/26</t>
  </si>
  <si>
    <t>KOLKI,TAL.PHALTAN,DIST.SATARA.           To : 30/09/26</t>
  </si>
  <si>
    <t>TEL:222072,224293,9970172859            Report Date :  1-Oct-2026</t>
  </si>
  <si>
    <t>STOCK &amp; SALE STATEMENT</t>
  </si>
  <si>
    <t>Company Name : HIMALAYA DRUGS CO.</t>
  </si>
  <si>
    <t>*CILSC</t>
  </si>
  <si>
    <t/>
  </si>
  <si>
    <t>*PECEF 50 MG SYRUP</t>
  </si>
  <si>
    <t>30039011</t>
  </si>
  <si>
    <t>ABANA TABS</t>
  </si>
  <si>
    <t>60*TAB</t>
  </si>
  <si>
    <t>30049099</t>
  </si>
  <si>
    <t>BLEMINOR ANTI BLEMISH CREAM</t>
  </si>
  <si>
    <t>30*ML.</t>
  </si>
  <si>
    <t>30049011</t>
  </si>
  <si>
    <t>BONNISAN DROPS</t>
  </si>
  <si>
    <t>BONNISAN LIQUID</t>
  </si>
  <si>
    <t>100*ML</t>
  </si>
  <si>
    <t>BONNISAN LIQUID 200 ML</t>
  </si>
  <si>
    <t>200*ML</t>
  </si>
  <si>
    <t>BONNISPAZ DROPS</t>
  </si>
  <si>
    <t>15*ML.</t>
  </si>
  <si>
    <t>BRESOL NS NASAL SOLUTION</t>
  </si>
  <si>
    <t>10*ML</t>
  </si>
  <si>
    <t>BRESOL SYRUP</t>
  </si>
  <si>
    <t>BRESOL TAB</t>
  </si>
  <si>
    <t>CHIROPEX CREAM</t>
  </si>
  <si>
    <t>30*GM</t>
  </si>
  <si>
    <t>CLARINA ANTI ACNE FACE MASK</t>
  </si>
  <si>
    <t>75 ML</t>
  </si>
  <si>
    <t>CLARINA ANTI ACNE KIT</t>
  </si>
  <si>
    <t>1*KIT</t>
  </si>
  <si>
    <t>CLARINA CREAM.</t>
  </si>
  <si>
    <t>30*GM.</t>
  </si>
  <si>
    <t>CLARINA FACE WASH GEL</t>
  </si>
  <si>
    <t>60*ML.</t>
  </si>
  <si>
    <t>33049990</t>
  </si>
  <si>
    <t>CLEARVITAL GEL</t>
  </si>
  <si>
    <t>30 ML</t>
  </si>
  <si>
    <t>CONFIDO TAB.</t>
  </si>
  <si>
    <t>CYSTONE FORTE TAB</t>
  </si>
  <si>
    <t>30*TAB</t>
  </si>
  <si>
    <t>CYSTONE SYRUP</t>
  </si>
  <si>
    <t>CYSTONE TABS</t>
  </si>
  <si>
    <t>DIABECON DS TAB.</t>
  </si>
  <si>
    <t>DIABECON TAB</t>
  </si>
  <si>
    <t>DIAKOF COUGH LINCT.</t>
  </si>
  <si>
    <t>DIAREX SYRUP.</t>
  </si>
  <si>
    <t>DIAREX TABS</t>
  </si>
  <si>
    <t>EVECARE CAP.</t>
  </si>
  <si>
    <t>30*CAP</t>
  </si>
  <si>
    <t>EVECARE FORTE LIQUID</t>
  </si>
  <si>
    <t>EVECARE FORTE TAB</t>
  </si>
  <si>
    <t>10*TAB</t>
  </si>
  <si>
    <t>EVECARE SYRUP.</t>
  </si>
  <si>
    <t>EVECARE SYRUP.(BIG)</t>
  </si>
  <si>
    <t>400*ML</t>
  </si>
  <si>
    <t>GALACTOSURE GRANULES (ELAICHI)</t>
  </si>
  <si>
    <t>200*GM</t>
  </si>
  <si>
    <t>GASEX FIZZ JALJEERA</t>
  </si>
  <si>
    <t>5*GM</t>
  </si>
  <si>
    <t>GASEX FIZZ LEMON</t>
  </si>
  <si>
    <t>GASEX SYRUP</t>
  </si>
  <si>
    <t>200 ML</t>
  </si>
  <si>
    <t>GASEX TABS</t>
  </si>
  <si>
    <t>100*TA</t>
  </si>
  <si>
    <t>GERIFORTE SYRUP</t>
  </si>
  <si>
    <t>GERIFORTE TABS</t>
  </si>
  <si>
    <t>HAIRZONE SOLUTION.</t>
  </si>
  <si>
    <t>33059020</t>
  </si>
  <si>
    <t>HEAL LIP CREAM</t>
  </si>
  <si>
    <t>10*GM</t>
  </si>
  <si>
    <t>33041000</t>
  </si>
  <si>
    <t>HERBOLAX CAPS</t>
  </si>
  <si>
    <t>10*CAP</t>
  </si>
  <si>
    <t>HERBOLAX TABS</t>
  </si>
  <si>
    <t>HIMCOCID(SF) SYP</t>
  </si>
  <si>
    <t>HIMCOLIN GEL.</t>
  </si>
  <si>
    <t>HIMCOSPAZ SOFT CAP.</t>
  </si>
  <si>
    <t>HIMPLASIA TAB.</t>
  </si>
  <si>
    <t>HIORA K M.WASH + HOIRA K T.PAS</t>
  </si>
  <si>
    <t>33061020</t>
  </si>
  <si>
    <t>HIORA MOUTH WASH</t>
  </si>
  <si>
    <t>150*ML</t>
  </si>
  <si>
    <t>HIORA-SG CREAM</t>
  </si>
  <si>
    <t>10*GM.</t>
  </si>
  <si>
    <t>HIOTA K MOUTH WASH</t>
  </si>
  <si>
    <t>215 ML</t>
  </si>
  <si>
    <t>HIOWNA JR STRABERRY</t>
  </si>
  <si>
    <t>HIOWNA KIDZ CHOCOLATE</t>
  </si>
  <si>
    <t>HIOWNA MOMS CHOWKLATE</t>
  </si>
  <si>
    <t>200 GM</t>
  </si>
  <si>
    <t>IMMUSANTE TAB</t>
  </si>
  <si>
    <t>20*TAB</t>
  </si>
  <si>
    <t>INTIMA SYRUP</t>
  </si>
  <si>
    <t>34025000</t>
  </si>
  <si>
    <t>KOFLET LONGES(JAR).</t>
  </si>
  <si>
    <t>200*TB</t>
  </si>
  <si>
    <t>KOFLET LONZENGES (75*LONZ)</t>
  </si>
  <si>
    <t>75*LON</t>
  </si>
  <si>
    <t>KOFLET LOZENGE.</t>
  </si>
  <si>
    <t>10*LON</t>
  </si>
  <si>
    <t>KOFLET SF LINCTUS</t>
  </si>
  <si>
    <t>KOFLET SYRUP</t>
  </si>
  <si>
    <t>KOFLET-EX LINTUS</t>
  </si>
  <si>
    <t>KOFLET-H LONZES (GINZER)</t>
  </si>
  <si>
    <t>6*LONZ</t>
  </si>
  <si>
    <t>KOFLET-H LOZENGES (LEMON)</t>
  </si>
  <si>
    <t>6*LOZE</t>
  </si>
  <si>
    <t>KOFLET-H LOZENGES (ORANGE )</t>
  </si>
  <si>
    <t>60*LOZ</t>
  </si>
  <si>
    <t>KOFLET-SF LOZ GIN MNT</t>
  </si>
  <si>
    <t>LIV 52 DROPS</t>
  </si>
  <si>
    <t>LIV 52 DS SYRUP 200 ML</t>
  </si>
  <si>
    <t>LIV 52 DS SYRUP.</t>
  </si>
  <si>
    <t>LIV 52 DS TAB.</t>
  </si>
  <si>
    <t>LIV 52 HB CAPSULES</t>
  </si>
  <si>
    <t>LIV 52 SYRUP</t>
  </si>
  <si>
    <t>LIV 52 TABS</t>
  </si>
  <si>
    <t>LUKOL SYRUP</t>
  </si>
  <si>
    <t>200*ml</t>
  </si>
  <si>
    <t>LUKOL TABS</t>
  </si>
  <si>
    <t>50*TAB</t>
  </si>
  <si>
    <t>LYGYLAC SACHET</t>
  </si>
  <si>
    <t>MENOSAN TAB.</t>
  </si>
  <si>
    <t>MENTAT DS SYRUP</t>
  </si>
  <si>
    <t>MENTAT SYRUP</t>
  </si>
  <si>
    <t>MENTAT TABS</t>
  </si>
  <si>
    <t>OPHTHACARE EYE DROPS.</t>
  </si>
  <si>
    <t>10*ML.</t>
  </si>
  <si>
    <t>ORO-T ORAL RINSE</t>
  </si>
  <si>
    <t>OXITARD CAP.</t>
  </si>
  <si>
    <t>PICROLAX CAP</t>
  </si>
  <si>
    <t>PICROLAX SUSPEN.</t>
  </si>
  <si>
    <t>120*ML</t>
  </si>
  <si>
    <t>PILEX FORTE OINTMENT</t>
  </si>
  <si>
    <t>PILEX FORTE TABLET</t>
  </si>
  <si>
    <t>PILEX OINTMENT</t>
  </si>
  <si>
    <t>PILEX TABS</t>
  </si>
  <si>
    <t>PLATENZA SYRUP</t>
  </si>
  <si>
    <t>100 ML</t>
  </si>
  <si>
    <t>PLATENZA TAB</t>
  </si>
  <si>
    <t>PRO</t>
  </si>
  <si>
    <t>PURE HANDS</t>
  </si>
  <si>
    <t>100*ml</t>
  </si>
  <si>
    <t>34022090</t>
  </si>
  <si>
    <t>PURE HANDS (ORNG) 500 ML</t>
  </si>
  <si>
    <t>500*ML</t>
  </si>
  <si>
    <t>PURIM TAB.</t>
  </si>
  <si>
    <t>Q-DEE (ACIDITY) TAB</t>
  </si>
  <si>
    <t>8*TAB</t>
  </si>
  <si>
    <t>Q-DEE (IMMUNITY) TAB</t>
  </si>
  <si>
    <t>QUISTA DN POWDER</t>
  </si>
  <si>
    <t>400*GM</t>
  </si>
  <si>
    <t>21069099</t>
  </si>
  <si>
    <t>QUISTA KIDZ POWDER (CHOC)</t>
  </si>
  <si>
    <t>QUISTA KIDZ POWDER (VANILLA)</t>
  </si>
  <si>
    <t>RE-HYDRATE ELECTROLYTE DRINK</t>
  </si>
  <si>
    <t>22029920</t>
  </si>
  <si>
    <t>RENALKA SYRUP</t>
  </si>
  <si>
    <t>RENALKA SYRUP.</t>
  </si>
  <si>
    <t>REOSTO TAB.</t>
  </si>
  <si>
    <t>RUMALAYA FORTE TAB.</t>
  </si>
  <si>
    <t>RUMALAYA GEL.</t>
  </si>
  <si>
    <t>RUMALAYA LINIMENT</t>
  </si>
  <si>
    <t>RUMALAYA TABS</t>
  </si>
  <si>
    <t>SEPTILIN SYRUP</t>
  </si>
  <si>
    <t>SEPTILIN TABS</t>
  </si>
  <si>
    <t>SPEMAN TABS</t>
  </si>
  <si>
    <t>STYPLON TABS</t>
  </si>
  <si>
    <t>TALEKT CAP.</t>
  </si>
  <si>
    <t>60*CAP</t>
  </si>
  <si>
    <t>TALEKT SYRUP.</t>
  </si>
  <si>
    <t>TENTEX FORTE TABS</t>
  </si>
  <si>
    <t>TENTEX ROYAL CAP.</t>
  </si>
  <si>
    <t>TOR</t>
  </si>
  <si>
    <t>TAB</t>
  </si>
  <si>
    <t>30066010</t>
  </si>
  <si>
    <t>TRIPHALA SYRUP</t>
  </si>
  <si>
    <t>V-GEL VAG.GEL.</t>
  </si>
  <si>
    <t>MR.Balance:        0.00</t>
  </si>
  <si>
    <t>OPENING :  503109.63</t>
  </si>
  <si>
    <t>PURCHASE :  503831.55</t>
  </si>
  <si>
    <t>SALES :  474835.01</t>
  </si>
  <si>
    <t>UC SALE :       0.00</t>
  </si>
  <si>
    <t>CL.STK.:  587491.67</t>
  </si>
  <si>
    <t>Opening On SaleRate:  588803.6</t>
  </si>
  <si>
    <t>Purchase On SaleRate:  568201.</t>
  </si>
  <si>
    <t>Closing On SaleRate:  679584.5</t>
  </si>
  <si>
    <t>NEAR EXPIRY REPORT</t>
  </si>
  <si>
    <t>SrNo.</t>
  </si>
  <si>
    <t>Product</t>
  </si>
  <si>
    <t>Pack</t>
  </si>
  <si>
    <t>Comp</t>
  </si>
  <si>
    <t>Batch</t>
  </si>
  <si>
    <t>Expiry</t>
  </si>
  <si>
    <t>P.RATE</t>
  </si>
  <si>
    <t>Qty</t>
  </si>
  <si>
    <t>Amount</t>
  </si>
  <si>
    <t xml:space="preserve">ABANA TABS                    </t>
  </si>
  <si>
    <t>HIM</t>
  </si>
  <si>
    <t xml:space="preserve">106241673*     </t>
  </si>
  <si>
    <t xml:space="preserve">LIV 52 DS SYRUP.              </t>
  </si>
  <si>
    <t xml:space="preserve">111231057*     </t>
  </si>
  <si>
    <t xml:space="preserve">Grand Total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</si>
</sst>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color indexed="16"/>
      <name val="Arial"/>
      <family val="2"/>
    </font>
    <font>
      <b/>
      <sz val="10"/>
      <color indexed="10"/>
      <name val="Arial"/>
      <family val="2"/>
    </font>
    <font>
      <b/>
      <i/>
      <sz val="10"/>
      <color indexed="12"/>
      <name val="Arial"/>
      <family val="2"/>
    </font>
    <font>
      <b/>
      <sz val="10"/>
      <color indexed="16"/>
      <name val="Arial"/>
      <family val="2"/>
    </font>
    <font>
      <b/>
      <i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3" fillId="0" borderId="1" xfId="0" applyFont="1" applyBorder="1" applyAlignment="1">
      <alignment horizontal="centerContinuous"/>
    </xf>
    <xf numFmtId="0" fontId="4" fillId="0" borderId="0" xfId="0" applyFont="1" applyAlignment="1">
      <alignment horizontal="centerContinuous"/>
    </xf>
    <xf numFmtId="0" fontId="5" fillId="0" borderId="1" xfId="0" applyFont="1" applyBorder="1" applyAlignment="1">
      <alignment horizontal="centerContinuous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1E042-57DE-4FAE-B438-18427DC70BBB}">
  <dimension ref="A1:P165"/>
  <sheetViews>
    <sheetView tabSelected="1" topLeftCell="E1" workbookViewId="0">
      <pane ySplit="7" topLeftCell="E8" activePane="bottomLeft" state="frozen"/>
      <selection activeCell="E1" sqref="E1"/>
      <selection pane="bottomLeft" activeCell="A8" sqref="A8:P8"/>
    </sheetView>
  </sheetViews>
  <sheetFormatPr defaultRowHeight="12.75" x14ac:dyDescent="0.15"/>
  <cols>
    <col min="1" max="1" width="35.1953125" customWidth="1"/>
    <col min="2" max="2" width="7.68359375" customWidth="1"/>
    <col min="3" max="3" width="10.3828125" customWidth="1"/>
    <col min="4" max="4" width="9.03515625" customWidth="1"/>
    <col min="6" max="6" width="10.3828125" customWidth="1"/>
    <col min="7" max="7" width="7.8203125" customWidth="1"/>
    <col min="8" max="8" width="9.4375" customWidth="1"/>
    <col min="9" max="9" width="7.8203125" customWidth="1"/>
    <col min="10" max="10" width="11.73046875" customWidth="1"/>
    <col min="11" max="11" width="10.515625" customWidth="1"/>
    <col min="12" max="12" width="9.9765625" customWidth="1"/>
    <col min="13" max="13" width="10.515625" customWidth="1"/>
    <col min="14" max="14" width="9.9765625" customWidth="1"/>
    <col min="15" max="15" width="10.65234375" customWidth="1"/>
  </cols>
  <sheetData>
    <row r="1" spans="1:16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1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1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1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15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15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15">
      <c r="A7" s="3" t="str">
        <f>UPPER("name")</f>
        <v>NAME</v>
      </c>
      <c r="B7" s="3" t="str">
        <f>UPPER("pack")</f>
        <v>PACK</v>
      </c>
      <c r="C7" s="3" t="str">
        <f>UPPER("openstk")</f>
        <v>OPENSTK</v>
      </c>
      <c r="D7" s="3" t="str">
        <f>UPPER("purstk")</f>
        <v>PURSTK</v>
      </c>
      <c r="E7" s="3" t="str">
        <f>UPPER("crestk")</f>
        <v>CRESTK</v>
      </c>
      <c r="F7" s="3" t="str">
        <f>UPPER("salestk")</f>
        <v>SALESTK</v>
      </c>
      <c r="G7" s="3" t="str">
        <f>UPPER("ucstk")</f>
        <v>UCSTK</v>
      </c>
      <c r="H7" s="3" t="str">
        <f>UPPER("clmstk")</f>
        <v>CLMSTK</v>
      </c>
      <c r="I7" s="3" t="str">
        <f>UPPER("dbstk")</f>
        <v>DBSTK</v>
      </c>
      <c r="J7" s="3" t="str">
        <f>UPPER("closestk")</f>
        <v>CLOSESTK</v>
      </c>
      <c r="K7" s="3" t="str">
        <f>UPPER("openval")</f>
        <v>OPENVAL</v>
      </c>
      <c r="L7" s="3" t="str">
        <f>UPPER("purval")</f>
        <v>PURVAL</v>
      </c>
      <c r="M7" s="3" t="str">
        <f>UPPER("saleval")</f>
        <v>SALEVAL</v>
      </c>
      <c r="N7" s="3" t="str">
        <f>UPPER("clsval")</f>
        <v>CLSVAL</v>
      </c>
      <c r="O7" s="3" t="str">
        <f>UPPER("hsncode")</f>
        <v>HSNCODE</v>
      </c>
      <c r="P7" s="3" t="str">
        <f>UPPER("taxper")</f>
        <v>TAXPER</v>
      </c>
    </row>
    <row r="8" spans="1:16" x14ac:dyDescent="0.15">
      <c r="A8" t="s">
        <v>6</v>
      </c>
      <c r="B8" t="s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7</v>
      </c>
      <c r="P8">
        <v>0</v>
      </c>
    </row>
    <row r="9" spans="1:16" x14ac:dyDescent="0.15">
      <c r="A9" t="s">
        <v>8</v>
      </c>
      <c r="B9" t="s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9</v>
      </c>
      <c r="P9">
        <v>0</v>
      </c>
    </row>
    <row r="10" spans="1:16" x14ac:dyDescent="0.15">
      <c r="A10" t="s">
        <v>10</v>
      </c>
      <c r="B10" t="s">
        <v>11</v>
      </c>
      <c r="C10">
        <v>110</v>
      </c>
      <c r="D10">
        <v>0</v>
      </c>
      <c r="E10">
        <v>0</v>
      </c>
      <c r="F10">
        <v>26</v>
      </c>
      <c r="G10">
        <v>0</v>
      </c>
      <c r="H10">
        <v>0</v>
      </c>
      <c r="I10">
        <v>0</v>
      </c>
      <c r="J10">
        <v>84</v>
      </c>
      <c r="K10">
        <v>14413.3</v>
      </c>
      <c r="L10">
        <v>0</v>
      </c>
      <c r="M10">
        <v>4358.12</v>
      </c>
      <c r="N10">
        <v>11006.52</v>
      </c>
      <c r="O10" t="s">
        <v>12</v>
      </c>
      <c r="P10">
        <v>5</v>
      </c>
    </row>
    <row r="11" spans="1:16" x14ac:dyDescent="0.15">
      <c r="A11" t="s">
        <v>13</v>
      </c>
      <c r="B11" t="s">
        <v>14</v>
      </c>
      <c r="C11">
        <v>58</v>
      </c>
      <c r="D11">
        <v>0</v>
      </c>
      <c r="E11">
        <v>0</v>
      </c>
      <c r="F11">
        <v>16</v>
      </c>
      <c r="G11">
        <v>0</v>
      </c>
      <c r="H11">
        <v>0</v>
      </c>
      <c r="I11">
        <v>0</v>
      </c>
      <c r="J11">
        <v>42</v>
      </c>
      <c r="K11">
        <v>10067.64</v>
      </c>
      <c r="L11">
        <v>0</v>
      </c>
      <c r="M11">
        <v>3132.8</v>
      </c>
      <c r="N11">
        <v>7290.36</v>
      </c>
      <c r="O11" t="s">
        <v>15</v>
      </c>
      <c r="P11">
        <v>5</v>
      </c>
    </row>
    <row r="12" spans="1:16" x14ac:dyDescent="0.15">
      <c r="A12" t="s">
        <v>16</v>
      </c>
      <c r="B12" t="s">
        <v>14</v>
      </c>
      <c r="C12">
        <v>196</v>
      </c>
      <c r="D12">
        <v>0</v>
      </c>
      <c r="E12">
        <v>0</v>
      </c>
      <c r="F12">
        <v>28</v>
      </c>
      <c r="G12">
        <v>0</v>
      </c>
      <c r="H12">
        <v>0</v>
      </c>
      <c r="I12">
        <v>0</v>
      </c>
      <c r="J12">
        <v>168</v>
      </c>
      <c r="K12">
        <v>12973.24</v>
      </c>
      <c r="L12">
        <v>0</v>
      </c>
      <c r="M12">
        <v>2090.48</v>
      </c>
      <c r="N12">
        <v>11119.92</v>
      </c>
      <c r="O12" t="s">
        <v>15</v>
      </c>
      <c r="P12">
        <v>5</v>
      </c>
    </row>
    <row r="13" spans="1:16" x14ac:dyDescent="0.15">
      <c r="A13" t="s">
        <v>17</v>
      </c>
      <c r="B13" t="s">
        <v>18</v>
      </c>
      <c r="C13">
        <v>120</v>
      </c>
      <c r="D13">
        <v>0</v>
      </c>
      <c r="E13">
        <v>0</v>
      </c>
      <c r="F13">
        <v>25</v>
      </c>
      <c r="G13">
        <v>0</v>
      </c>
      <c r="H13">
        <v>0</v>
      </c>
      <c r="I13">
        <v>0</v>
      </c>
      <c r="J13">
        <v>95</v>
      </c>
      <c r="K13">
        <v>7212</v>
      </c>
      <c r="L13">
        <v>0</v>
      </c>
      <c r="M13">
        <v>1695</v>
      </c>
      <c r="N13">
        <v>5709.5</v>
      </c>
      <c r="O13" t="s">
        <v>15</v>
      </c>
      <c r="P13">
        <v>5</v>
      </c>
    </row>
    <row r="14" spans="1:16" x14ac:dyDescent="0.15">
      <c r="A14" t="s">
        <v>19</v>
      </c>
      <c r="B14" t="s">
        <v>20</v>
      </c>
      <c r="C14">
        <v>81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80</v>
      </c>
      <c r="K14">
        <v>8206.11</v>
      </c>
      <c r="L14">
        <v>0</v>
      </c>
      <c r="M14">
        <v>114.28</v>
      </c>
      <c r="N14">
        <v>8104.8</v>
      </c>
      <c r="O14" t="s">
        <v>15</v>
      </c>
      <c r="P14">
        <v>5</v>
      </c>
    </row>
    <row r="15" spans="1:16" x14ac:dyDescent="0.15">
      <c r="A15" t="s">
        <v>21</v>
      </c>
      <c r="B15" t="s">
        <v>22</v>
      </c>
      <c r="C15">
        <v>67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66</v>
      </c>
      <c r="K15">
        <v>3801.58</v>
      </c>
      <c r="L15">
        <v>0</v>
      </c>
      <c r="M15">
        <v>64</v>
      </c>
      <c r="N15">
        <v>3744.84</v>
      </c>
      <c r="O15" t="s">
        <v>15</v>
      </c>
      <c r="P15">
        <v>5</v>
      </c>
    </row>
    <row r="16" spans="1:16" x14ac:dyDescent="0.15">
      <c r="A16" t="s">
        <v>23</v>
      </c>
      <c r="B16" t="s">
        <v>24</v>
      </c>
      <c r="C16">
        <v>30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30</v>
      </c>
      <c r="K16">
        <v>1519.5</v>
      </c>
      <c r="L16">
        <v>0</v>
      </c>
      <c r="M16">
        <v>0</v>
      </c>
      <c r="N16">
        <v>1519.5</v>
      </c>
      <c r="O16" t="s">
        <v>12</v>
      </c>
      <c r="P16">
        <v>5</v>
      </c>
    </row>
    <row r="17" spans="1:16" x14ac:dyDescent="0.15">
      <c r="A17" t="s">
        <v>25</v>
      </c>
      <c r="B17" t="s">
        <v>20</v>
      </c>
      <c r="C17">
        <v>33</v>
      </c>
      <c r="D17">
        <v>28</v>
      </c>
      <c r="E17">
        <v>0</v>
      </c>
      <c r="F17">
        <v>34</v>
      </c>
      <c r="G17">
        <v>0</v>
      </c>
      <c r="H17">
        <v>0</v>
      </c>
      <c r="I17">
        <v>0</v>
      </c>
      <c r="J17">
        <v>27</v>
      </c>
      <c r="K17">
        <v>4791.93</v>
      </c>
      <c r="L17">
        <v>4065.88</v>
      </c>
      <c r="M17">
        <v>5405.4</v>
      </c>
      <c r="N17">
        <v>3920.67</v>
      </c>
      <c r="O17" t="s">
        <v>12</v>
      </c>
      <c r="P17">
        <v>5</v>
      </c>
    </row>
    <row r="18" spans="1:16" x14ac:dyDescent="0.15">
      <c r="A18" t="s">
        <v>26</v>
      </c>
      <c r="B18" t="s">
        <v>11</v>
      </c>
      <c r="C18">
        <v>13</v>
      </c>
      <c r="D18">
        <v>50</v>
      </c>
      <c r="E18">
        <v>0</v>
      </c>
      <c r="F18">
        <v>10</v>
      </c>
      <c r="G18">
        <v>0</v>
      </c>
      <c r="H18">
        <v>0</v>
      </c>
      <c r="I18">
        <v>0</v>
      </c>
      <c r="J18">
        <v>53</v>
      </c>
      <c r="K18">
        <v>1742.91</v>
      </c>
      <c r="L18">
        <v>8375.5</v>
      </c>
      <c r="M18">
        <v>1889.6</v>
      </c>
      <c r="N18">
        <v>7105.71</v>
      </c>
      <c r="O18" t="s">
        <v>15</v>
      </c>
      <c r="P18">
        <v>5</v>
      </c>
    </row>
    <row r="19" spans="1:16" x14ac:dyDescent="0.15">
      <c r="A19" t="s">
        <v>27</v>
      </c>
      <c r="B19" t="s">
        <v>28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12</v>
      </c>
      <c r="P19">
        <v>5</v>
      </c>
    </row>
    <row r="20" spans="1:16" x14ac:dyDescent="0.15">
      <c r="A20" t="s">
        <v>29</v>
      </c>
      <c r="B20" t="s">
        <v>30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12</v>
      </c>
      <c r="P20">
        <v>5</v>
      </c>
    </row>
    <row r="21" spans="1:16" x14ac:dyDescent="0.15">
      <c r="A21" t="s">
        <v>31</v>
      </c>
      <c r="B21" t="s">
        <v>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12</v>
      </c>
      <c r="P21">
        <v>5</v>
      </c>
    </row>
    <row r="22" spans="1:16" x14ac:dyDescent="0.15">
      <c r="A22" t="s">
        <v>33</v>
      </c>
      <c r="B22" t="s">
        <v>34</v>
      </c>
      <c r="C22">
        <v>36</v>
      </c>
      <c r="D22">
        <v>0</v>
      </c>
      <c r="E22">
        <v>0</v>
      </c>
      <c r="F22">
        <v>15</v>
      </c>
      <c r="G22">
        <v>0</v>
      </c>
      <c r="H22">
        <v>0</v>
      </c>
      <c r="I22">
        <v>0</v>
      </c>
      <c r="J22">
        <v>21</v>
      </c>
      <c r="K22">
        <v>4668.4799999999996</v>
      </c>
      <c r="L22">
        <v>0</v>
      </c>
      <c r="M22">
        <v>2194.1999999999998</v>
      </c>
      <c r="N22">
        <v>2723.28</v>
      </c>
      <c r="O22" t="s">
        <v>15</v>
      </c>
      <c r="P22">
        <v>5</v>
      </c>
    </row>
    <row r="23" spans="1:16" x14ac:dyDescent="0.15">
      <c r="A23" t="s">
        <v>35</v>
      </c>
      <c r="B23" t="s">
        <v>36</v>
      </c>
      <c r="C23">
        <v>23</v>
      </c>
      <c r="D23">
        <v>0</v>
      </c>
      <c r="E23">
        <v>0</v>
      </c>
      <c r="F23">
        <v>7</v>
      </c>
      <c r="G23">
        <v>0</v>
      </c>
      <c r="H23">
        <v>0</v>
      </c>
      <c r="I23">
        <v>0</v>
      </c>
      <c r="J23">
        <v>16</v>
      </c>
      <c r="K23">
        <v>2488.37</v>
      </c>
      <c r="L23">
        <v>0</v>
      </c>
      <c r="M23">
        <v>854.28</v>
      </c>
      <c r="N23">
        <v>1731.04</v>
      </c>
      <c r="O23" t="s">
        <v>37</v>
      </c>
      <c r="P23">
        <v>18</v>
      </c>
    </row>
    <row r="24" spans="1:16" x14ac:dyDescent="0.15">
      <c r="A24" t="s">
        <v>38</v>
      </c>
      <c r="B24" t="s">
        <v>39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12</v>
      </c>
      <c r="P24">
        <v>5</v>
      </c>
    </row>
    <row r="25" spans="1:16" x14ac:dyDescent="0.15">
      <c r="A25" t="s">
        <v>40</v>
      </c>
      <c r="B25" t="s">
        <v>11</v>
      </c>
      <c r="C25">
        <v>69</v>
      </c>
      <c r="D25">
        <v>0</v>
      </c>
      <c r="E25">
        <v>0</v>
      </c>
      <c r="F25">
        <v>17</v>
      </c>
      <c r="G25">
        <v>0</v>
      </c>
      <c r="H25">
        <v>0</v>
      </c>
      <c r="I25">
        <v>0</v>
      </c>
      <c r="J25">
        <v>52</v>
      </c>
      <c r="K25">
        <v>11324.97</v>
      </c>
      <c r="L25">
        <v>0</v>
      </c>
      <c r="M25">
        <v>3147.38</v>
      </c>
      <c r="N25">
        <v>8534.76</v>
      </c>
      <c r="O25" t="s">
        <v>15</v>
      </c>
      <c r="P25">
        <v>5</v>
      </c>
    </row>
    <row r="26" spans="1:16" x14ac:dyDescent="0.15">
      <c r="A26" t="s">
        <v>41</v>
      </c>
      <c r="B26" t="s">
        <v>42</v>
      </c>
      <c r="C26">
        <v>20</v>
      </c>
      <c r="D26">
        <v>112</v>
      </c>
      <c r="E26">
        <v>0</v>
      </c>
      <c r="F26">
        <v>49</v>
      </c>
      <c r="G26">
        <v>0</v>
      </c>
      <c r="H26">
        <v>0</v>
      </c>
      <c r="I26">
        <v>0</v>
      </c>
      <c r="J26">
        <v>83</v>
      </c>
      <c r="K26">
        <v>2147.8000000000002</v>
      </c>
      <c r="L26">
        <v>12027.68</v>
      </c>
      <c r="M26">
        <v>5935.86</v>
      </c>
      <c r="N26">
        <v>8913.3700000000008</v>
      </c>
      <c r="O26" t="s">
        <v>15</v>
      </c>
      <c r="P26">
        <v>5</v>
      </c>
    </row>
    <row r="27" spans="1:16" x14ac:dyDescent="0.15">
      <c r="A27" t="s">
        <v>43</v>
      </c>
      <c r="B27" t="s">
        <v>18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12</v>
      </c>
      <c r="P27">
        <v>5</v>
      </c>
    </row>
    <row r="28" spans="1:16" x14ac:dyDescent="0.15">
      <c r="A28" t="s">
        <v>43</v>
      </c>
      <c r="B28" t="s">
        <v>20</v>
      </c>
      <c r="C28">
        <v>20</v>
      </c>
      <c r="D28">
        <v>56</v>
      </c>
      <c r="E28">
        <v>0</v>
      </c>
      <c r="F28">
        <v>48</v>
      </c>
      <c r="G28">
        <v>0</v>
      </c>
      <c r="H28">
        <v>0</v>
      </c>
      <c r="I28">
        <v>0</v>
      </c>
      <c r="J28">
        <v>28</v>
      </c>
      <c r="K28">
        <v>3660.8</v>
      </c>
      <c r="L28">
        <v>10250.24</v>
      </c>
      <c r="M28">
        <v>9911.0400000000009</v>
      </c>
      <c r="N28">
        <v>5125.12</v>
      </c>
      <c r="O28" t="s">
        <v>15</v>
      </c>
      <c r="P28">
        <v>5</v>
      </c>
    </row>
    <row r="29" spans="1:16" x14ac:dyDescent="0.15">
      <c r="A29" t="s">
        <v>44</v>
      </c>
      <c r="B29" t="s">
        <v>11</v>
      </c>
      <c r="C29">
        <v>0</v>
      </c>
      <c r="D29">
        <v>500</v>
      </c>
      <c r="E29">
        <v>0</v>
      </c>
      <c r="F29">
        <v>188</v>
      </c>
      <c r="G29">
        <v>0</v>
      </c>
      <c r="H29">
        <v>0</v>
      </c>
      <c r="I29">
        <v>0</v>
      </c>
      <c r="J29">
        <v>312</v>
      </c>
      <c r="K29">
        <v>0</v>
      </c>
      <c r="L29">
        <v>82065</v>
      </c>
      <c r="M29">
        <v>34621.18</v>
      </c>
      <c r="N29">
        <v>51208.56</v>
      </c>
      <c r="O29" t="s">
        <v>15</v>
      </c>
      <c r="P29">
        <v>5</v>
      </c>
    </row>
    <row r="30" spans="1:16" x14ac:dyDescent="0.15">
      <c r="A30" t="s">
        <v>45</v>
      </c>
      <c r="B30" t="s">
        <v>11</v>
      </c>
      <c r="C30">
        <v>17</v>
      </c>
      <c r="D30">
        <v>50</v>
      </c>
      <c r="E30">
        <v>0</v>
      </c>
      <c r="F30">
        <v>18</v>
      </c>
      <c r="G30">
        <v>0</v>
      </c>
      <c r="H30">
        <v>0</v>
      </c>
      <c r="I30">
        <v>0</v>
      </c>
      <c r="J30">
        <v>49</v>
      </c>
      <c r="K30">
        <v>3272.33</v>
      </c>
      <c r="L30">
        <v>9624.5</v>
      </c>
      <c r="M30">
        <v>3908.52</v>
      </c>
      <c r="N30">
        <v>9432.01</v>
      </c>
      <c r="O30" t="s">
        <v>12</v>
      </c>
      <c r="P30">
        <v>5</v>
      </c>
    </row>
    <row r="31" spans="1:16" x14ac:dyDescent="0.15">
      <c r="A31" t="s">
        <v>46</v>
      </c>
      <c r="B31" t="s">
        <v>11</v>
      </c>
      <c r="C31">
        <v>58</v>
      </c>
      <c r="D31">
        <v>0</v>
      </c>
      <c r="E31">
        <v>0</v>
      </c>
      <c r="F31">
        <v>8</v>
      </c>
      <c r="G31">
        <v>0</v>
      </c>
      <c r="H31">
        <v>0</v>
      </c>
      <c r="I31">
        <v>0</v>
      </c>
      <c r="J31">
        <v>50</v>
      </c>
      <c r="K31">
        <v>6978.56</v>
      </c>
      <c r="L31">
        <v>0</v>
      </c>
      <c r="M31">
        <v>1181.0999999999999</v>
      </c>
      <c r="N31">
        <v>6016</v>
      </c>
      <c r="O31" t="s">
        <v>15</v>
      </c>
      <c r="P31">
        <v>5</v>
      </c>
    </row>
    <row r="32" spans="1:16" x14ac:dyDescent="0.15">
      <c r="A32" t="s">
        <v>47</v>
      </c>
      <c r="B32" t="s">
        <v>18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12</v>
      </c>
      <c r="P32">
        <v>5</v>
      </c>
    </row>
    <row r="33" spans="1:16" x14ac:dyDescent="0.15">
      <c r="A33" t="s">
        <v>48</v>
      </c>
      <c r="B33" t="s">
        <v>18</v>
      </c>
      <c r="C33">
        <v>2</v>
      </c>
      <c r="D33">
        <v>56</v>
      </c>
      <c r="E33">
        <v>0</v>
      </c>
      <c r="F33">
        <v>12</v>
      </c>
      <c r="G33">
        <v>0</v>
      </c>
      <c r="H33">
        <v>0</v>
      </c>
      <c r="I33">
        <v>0</v>
      </c>
      <c r="J33">
        <v>46</v>
      </c>
      <c r="K33">
        <v>163.47999999999999</v>
      </c>
      <c r="L33">
        <v>4577.4399999999996</v>
      </c>
      <c r="M33">
        <v>1106.4000000000001</v>
      </c>
      <c r="N33">
        <v>3760.04</v>
      </c>
      <c r="O33" t="s">
        <v>15</v>
      </c>
      <c r="P33">
        <v>5</v>
      </c>
    </row>
    <row r="34" spans="1:16" x14ac:dyDescent="0.15">
      <c r="A34" t="s">
        <v>49</v>
      </c>
      <c r="B34" t="s">
        <v>42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12</v>
      </c>
      <c r="P34">
        <v>5</v>
      </c>
    </row>
    <row r="35" spans="1:16" x14ac:dyDescent="0.15">
      <c r="A35" t="s">
        <v>50</v>
      </c>
      <c r="B35" t="s">
        <v>51</v>
      </c>
      <c r="C35">
        <v>98</v>
      </c>
      <c r="D35">
        <v>0</v>
      </c>
      <c r="E35">
        <v>0</v>
      </c>
      <c r="F35">
        <v>17</v>
      </c>
      <c r="G35">
        <v>0</v>
      </c>
      <c r="H35">
        <v>0</v>
      </c>
      <c r="I35">
        <v>0</v>
      </c>
      <c r="J35">
        <v>81</v>
      </c>
      <c r="K35">
        <v>12243.14</v>
      </c>
      <c r="L35">
        <v>0</v>
      </c>
      <c r="M35">
        <v>3147.38</v>
      </c>
      <c r="N35">
        <v>10119.33</v>
      </c>
      <c r="O35" t="s">
        <v>15</v>
      </c>
      <c r="P35">
        <v>5</v>
      </c>
    </row>
    <row r="36" spans="1:16" x14ac:dyDescent="0.15">
      <c r="A36" t="s">
        <v>52</v>
      </c>
      <c r="B36" t="s">
        <v>20</v>
      </c>
      <c r="C36">
        <v>50</v>
      </c>
      <c r="D36">
        <v>84</v>
      </c>
      <c r="E36">
        <v>0</v>
      </c>
      <c r="F36">
        <v>50</v>
      </c>
      <c r="G36">
        <v>0</v>
      </c>
      <c r="H36">
        <v>0</v>
      </c>
      <c r="I36">
        <v>0</v>
      </c>
      <c r="J36">
        <v>84</v>
      </c>
      <c r="K36">
        <v>8679</v>
      </c>
      <c r="L36">
        <v>14580.72</v>
      </c>
      <c r="M36">
        <v>9594.2000000000007</v>
      </c>
      <c r="N36">
        <v>14580.72</v>
      </c>
      <c r="O36" t="s">
        <v>15</v>
      </c>
      <c r="P36">
        <v>5</v>
      </c>
    </row>
    <row r="37" spans="1:16" x14ac:dyDescent="0.15">
      <c r="A37" t="s">
        <v>53</v>
      </c>
      <c r="B37" t="s">
        <v>54</v>
      </c>
      <c r="C37">
        <v>44</v>
      </c>
      <c r="D37">
        <v>0</v>
      </c>
      <c r="E37">
        <v>0</v>
      </c>
      <c r="F37">
        <v>18</v>
      </c>
      <c r="G37">
        <v>0</v>
      </c>
      <c r="H37">
        <v>0</v>
      </c>
      <c r="I37">
        <v>0</v>
      </c>
      <c r="J37">
        <v>26</v>
      </c>
      <c r="K37">
        <v>2852.96</v>
      </c>
      <c r="L37">
        <v>0</v>
      </c>
      <c r="M37">
        <v>1316.52</v>
      </c>
      <c r="N37">
        <v>1685.84</v>
      </c>
      <c r="O37" t="s">
        <v>12</v>
      </c>
      <c r="P37">
        <v>5</v>
      </c>
    </row>
    <row r="38" spans="1:16" x14ac:dyDescent="0.15">
      <c r="A38" t="s">
        <v>55</v>
      </c>
      <c r="B38" t="s">
        <v>20</v>
      </c>
      <c r="C38">
        <v>63</v>
      </c>
      <c r="D38">
        <v>168</v>
      </c>
      <c r="E38">
        <v>0</v>
      </c>
      <c r="F38">
        <v>99</v>
      </c>
      <c r="G38">
        <v>0</v>
      </c>
      <c r="H38">
        <v>0</v>
      </c>
      <c r="I38">
        <v>0</v>
      </c>
      <c r="J38">
        <v>132</v>
      </c>
      <c r="K38">
        <v>9148.23</v>
      </c>
      <c r="L38">
        <v>24395.279999999999</v>
      </c>
      <c r="M38">
        <v>16216.2</v>
      </c>
      <c r="N38">
        <v>19167.72</v>
      </c>
      <c r="O38" t="s">
        <v>15</v>
      </c>
      <c r="P38">
        <v>5</v>
      </c>
    </row>
    <row r="39" spans="1:16" x14ac:dyDescent="0.15">
      <c r="A39" t="s">
        <v>56</v>
      </c>
      <c r="B39" t="s">
        <v>57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12</v>
      </c>
      <c r="P39">
        <v>5</v>
      </c>
    </row>
    <row r="40" spans="1:16" x14ac:dyDescent="0.15">
      <c r="A40" t="s">
        <v>58</v>
      </c>
      <c r="B40" t="s">
        <v>59</v>
      </c>
      <c r="C40">
        <v>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4</v>
      </c>
      <c r="K40">
        <v>1064.52</v>
      </c>
      <c r="L40">
        <v>0</v>
      </c>
      <c r="M40">
        <v>0</v>
      </c>
      <c r="N40">
        <v>1064.52</v>
      </c>
      <c r="O40" t="s">
        <v>15</v>
      </c>
      <c r="P40">
        <v>5</v>
      </c>
    </row>
    <row r="41" spans="1:16" x14ac:dyDescent="0.15">
      <c r="A41" t="s">
        <v>60</v>
      </c>
      <c r="B41" t="s">
        <v>61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12</v>
      </c>
      <c r="P41">
        <v>5</v>
      </c>
    </row>
    <row r="42" spans="1:16" x14ac:dyDescent="0.15">
      <c r="A42" t="s">
        <v>62</v>
      </c>
      <c r="B42" t="s">
        <v>61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12</v>
      </c>
      <c r="P42">
        <v>5</v>
      </c>
    </row>
    <row r="43" spans="1:16" x14ac:dyDescent="0.15">
      <c r="A43" t="s">
        <v>63</v>
      </c>
      <c r="B43" t="s">
        <v>64</v>
      </c>
      <c r="C43">
        <v>67</v>
      </c>
      <c r="D43">
        <v>0</v>
      </c>
      <c r="E43">
        <v>3</v>
      </c>
      <c r="F43">
        <v>24</v>
      </c>
      <c r="G43">
        <v>0</v>
      </c>
      <c r="H43">
        <v>0</v>
      </c>
      <c r="I43">
        <v>0</v>
      </c>
      <c r="J43">
        <v>46</v>
      </c>
      <c r="K43">
        <v>6787.77</v>
      </c>
      <c r="L43">
        <v>0</v>
      </c>
      <c r="M43">
        <v>2742.72</v>
      </c>
      <c r="N43">
        <v>4660.26</v>
      </c>
      <c r="O43" t="s">
        <v>15</v>
      </c>
      <c r="P43">
        <v>5</v>
      </c>
    </row>
    <row r="44" spans="1:16" x14ac:dyDescent="0.15">
      <c r="A44" t="s">
        <v>65</v>
      </c>
      <c r="B44" t="s">
        <v>66</v>
      </c>
      <c r="C44">
        <v>58</v>
      </c>
      <c r="D44">
        <v>500</v>
      </c>
      <c r="E44">
        <v>0</v>
      </c>
      <c r="F44">
        <v>185</v>
      </c>
      <c r="G44">
        <v>0</v>
      </c>
      <c r="H44">
        <v>0</v>
      </c>
      <c r="I44">
        <v>0</v>
      </c>
      <c r="J44">
        <v>373</v>
      </c>
      <c r="K44">
        <v>8070.12</v>
      </c>
      <c r="L44">
        <v>69570</v>
      </c>
      <c r="M44">
        <v>29037.599999999999</v>
      </c>
      <c r="N44">
        <v>51899.22</v>
      </c>
      <c r="O44" t="s">
        <v>15</v>
      </c>
      <c r="P44">
        <v>5</v>
      </c>
    </row>
    <row r="45" spans="1:16" x14ac:dyDescent="0.15">
      <c r="A45" t="s">
        <v>67</v>
      </c>
      <c r="B45" t="s">
        <v>20</v>
      </c>
      <c r="C45">
        <v>31</v>
      </c>
      <c r="D45">
        <v>0</v>
      </c>
      <c r="E45">
        <v>0</v>
      </c>
      <c r="F45">
        <v>10</v>
      </c>
      <c r="G45">
        <v>0</v>
      </c>
      <c r="H45">
        <v>0</v>
      </c>
      <c r="I45">
        <v>0</v>
      </c>
      <c r="J45">
        <v>21</v>
      </c>
      <c r="K45">
        <v>4501.51</v>
      </c>
      <c r="L45">
        <v>0</v>
      </c>
      <c r="M45">
        <v>1638</v>
      </c>
      <c r="N45">
        <v>3049.41</v>
      </c>
      <c r="O45" t="s">
        <v>15</v>
      </c>
      <c r="P45">
        <v>5</v>
      </c>
    </row>
    <row r="46" spans="1:16" x14ac:dyDescent="0.15">
      <c r="A46" t="s">
        <v>68</v>
      </c>
      <c r="B46" t="s">
        <v>66</v>
      </c>
      <c r="C46">
        <v>142</v>
      </c>
      <c r="D46">
        <v>0</v>
      </c>
      <c r="E46">
        <v>0</v>
      </c>
      <c r="F46">
        <v>4</v>
      </c>
      <c r="G46">
        <v>0</v>
      </c>
      <c r="H46">
        <v>0</v>
      </c>
      <c r="I46">
        <v>0</v>
      </c>
      <c r="J46">
        <v>138</v>
      </c>
      <c r="K46">
        <v>15730.76</v>
      </c>
      <c r="L46">
        <v>0</v>
      </c>
      <c r="M46">
        <v>499.84</v>
      </c>
      <c r="N46">
        <v>15287.64</v>
      </c>
      <c r="O46" t="s">
        <v>12</v>
      </c>
      <c r="P46">
        <v>5</v>
      </c>
    </row>
    <row r="47" spans="1:16" x14ac:dyDescent="0.15">
      <c r="A47" t="s">
        <v>69</v>
      </c>
      <c r="B47" t="s">
        <v>36</v>
      </c>
      <c r="C47">
        <v>14</v>
      </c>
      <c r="D47">
        <v>0</v>
      </c>
      <c r="E47">
        <v>0</v>
      </c>
      <c r="F47">
        <v>7</v>
      </c>
      <c r="G47">
        <v>0</v>
      </c>
      <c r="H47">
        <v>0</v>
      </c>
      <c r="I47">
        <v>0</v>
      </c>
      <c r="J47">
        <v>7</v>
      </c>
      <c r="K47">
        <v>3702.16</v>
      </c>
      <c r="L47">
        <v>0</v>
      </c>
      <c r="M47">
        <v>2088.1</v>
      </c>
      <c r="N47">
        <v>1851.08</v>
      </c>
      <c r="O47" t="s">
        <v>70</v>
      </c>
      <c r="P47">
        <v>18</v>
      </c>
    </row>
    <row r="48" spans="1:16" x14ac:dyDescent="0.15">
      <c r="A48" t="s">
        <v>71</v>
      </c>
      <c r="B48" t="s">
        <v>72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73</v>
      </c>
      <c r="P48">
        <v>18</v>
      </c>
    </row>
    <row r="49" spans="1:16" x14ac:dyDescent="0.15">
      <c r="A49" t="s">
        <v>74</v>
      </c>
      <c r="B49" t="s">
        <v>75</v>
      </c>
      <c r="C49">
        <v>196</v>
      </c>
      <c r="D49">
        <v>0</v>
      </c>
      <c r="E49">
        <v>0</v>
      </c>
      <c r="F49">
        <v>194</v>
      </c>
      <c r="G49">
        <v>0</v>
      </c>
      <c r="H49">
        <v>0</v>
      </c>
      <c r="I49">
        <v>0</v>
      </c>
      <c r="J49">
        <v>2</v>
      </c>
      <c r="K49">
        <v>11121.04</v>
      </c>
      <c r="L49">
        <v>0</v>
      </c>
      <c r="M49">
        <v>12032</v>
      </c>
      <c r="N49">
        <v>113.48</v>
      </c>
      <c r="O49" t="s">
        <v>15</v>
      </c>
      <c r="P49">
        <v>5</v>
      </c>
    </row>
    <row r="50" spans="1:16" x14ac:dyDescent="0.15">
      <c r="A50" t="s">
        <v>76</v>
      </c>
      <c r="B50" t="s">
        <v>66</v>
      </c>
      <c r="C50">
        <v>48</v>
      </c>
      <c r="D50">
        <v>50</v>
      </c>
      <c r="E50">
        <v>0</v>
      </c>
      <c r="F50">
        <v>49</v>
      </c>
      <c r="G50">
        <v>0</v>
      </c>
      <c r="H50">
        <v>0</v>
      </c>
      <c r="I50">
        <v>0</v>
      </c>
      <c r="J50">
        <v>49</v>
      </c>
      <c r="K50">
        <v>7132.8</v>
      </c>
      <c r="L50">
        <v>7430</v>
      </c>
      <c r="M50">
        <v>8213.3799999999992</v>
      </c>
      <c r="N50">
        <v>7281.4</v>
      </c>
      <c r="O50" t="s">
        <v>15</v>
      </c>
      <c r="P50">
        <v>5</v>
      </c>
    </row>
    <row r="51" spans="1:16" x14ac:dyDescent="0.15">
      <c r="A51" t="s">
        <v>77</v>
      </c>
      <c r="B51" t="s">
        <v>20</v>
      </c>
      <c r="C51">
        <v>0</v>
      </c>
      <c r="D51">
        <v>308</v>
      </c>
      <c r="E51">
        <v>0</v>
      </c>
      <c r="F51">
        <v>139</v>
      </c>
      <c r="G51">
        <v>0</v>
      </c>
      <c r="H51">
        <v>0</v>
      </c>
      <c r="I51">
        <v>0</v>
      </c>
      <c r="J51">
        <v>169</v>
      </c>
      <c r="K51">
        <v>0</v>
      </c>
      <c r="L51">
        <v>30165.52</v>
      </c>
      <c r="M51">
        <v>15025.28</v>
      </c>
      <c r="N51">
        <v>16551.86</v>
      </c>
      <c r="O51" t="s">
        <v>15</v>
      </c>
      <c r="P51">
        <v>5</v>
      </c>
    </row>
    <row r="52" spans="1:16" x14ac:dyDescent="0.15">
      <c r="A52" t="s">
        <v>78</v>
      </c>
      <c r="B52" t="s">
        <v>34</v>
      </c>
      <c r="C52">
        <v>32</v>
      </c>
      <c r="D52">
        <v>0</v>
      </c>
      <c r="E52">
        <v>0</v>
      </c>
      <c r="F52">
        <v>7</v>
      </c>
      <c r="G52">
        <v>0</v>
      </c>
      <c r="H52">
        <v>0</v>
      </c>
      <c r="I52">
        <v>0</v>
      </c>
      <c r="J52">
        <v>25</v>
      </c>
      <c r="K52">
        <v>5977.6</v>
      </c>
      <c r="L52">
        <v>0</v>
      </c>
      <c r="M52">
        <v>1621.34</v>
      </c>
      <c r="N52">
        <v>4670</v>
      </c>
      <c r="O52" t="s">
        <v>15</v>
      </c>
      <c r="P52">
        <v>5</v>
      </c>
    </row>
    <row r="53" spans="1:16" x14ac:dyDescent="0.15">
      <c r="A53" t="s">
        <v>79</v>
      </c>
      <c r="B53" t="s">
        <v>75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12</v>
      </c>
      <c r="P53">
        <v>5</v>
      </c>
    </row>
    <row r="54" spans="1:16" x14ac:dyDescent="0.15">
      <c r="A54" t="s">
        <v>80</v>
      </c>
      <c r="B54" t="s">
        <v>42</v>
      </c>
      <c r="C54">
        <v>72</v>
      </c>
      <c r="D54">
        <v>0</v>
      </c>
      <c r="E54">
        <v>0</v>
      </c>
      <c r="F54">
        <v>25</v>
      </c>
      <c r="G54">
        <v>0</v>
      </c>
      <c r="H54">
        <v>0</v>
      </c>
      <c r="I54">
        <v>0</v>
      </c>
      <c r="J54">
        <v>47</v>
      </c>
      <c r="K54">
        <v>11915.28</v>
      </c>
      <c r="L54">
        <v>0</v>
      </c>
      <c r="M54">
        <v>4666.75</v>
      </c>
      <c r="N54">
        <v>7778.03</v>
      </c>
      <c r="O54" t="s">
        <v>15</v>
      </c>
      <c r="P54">
        <v>5</v>
      </c>
    </row>
    <row r="55" spans="1:16" x14ac:dyDescent="0.15">
      <c r="A55" t="s">
        <v>81</v>
      </c>
      <c r="B55" t="s">
        <v>32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82</v>
      </c>
      <c r="P55">
        <v>18</v>
      </c>
    </row>
    <row r="56" spans="1:16" x14ac:dyDescent="0.15">
      <c r="A56" t="s">
        <v>83</v>
      </c>
      <c r="B56" t="s">
        <v>84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82</v>
      </c>
      <c r="P56">
        <v>5</v>
      </c>
    </row>
    <row r="57" spans="1:16" x14ac:dyDescent="0.15">
      <c r="A57" t="s">
        <v>85</v>
      </c>
      <c r="B57" t="s">
        <v>86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12</v>
      </c>
      <c r="P57">
        <v>5</v>
      </c>
    </row>
    <row r="58" spans="1:16" x14ac:dyDescent="0.15">
      <c r="A58" t="s">
        <v>87</v>
      </c>
      <c r="B58" t="s">
        <v>88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12</v>
      </c>
      <c r="P58">
        <v>5</v>
      </c>
    </row>
    <row r="59" spans="1:16" x14ac:dyDescent="0.15">
      <c r="A59" t="s">
        <v>89</v>
      </c>
      <c r="B59" t="s">
        <v>59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12</v>
      </c>
      <c r="P59">
        <v>5</v>
      </c>
    </row>
    <row r="60" spans="1:16" x14ac:dyDescent="0.15">
      <c r="A60" t="s">
        <v>90</v>
      </c>
      <c r="B60" t="s">
        <v>59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12</v>
      </c>
      <c r="P60">
        <v>5</v>
      </c>
    </row>
    <row r="61" spans="1:16" x14ac:dyDescent="0.15">
      <c r="A61" t="s">
        <v>91</v>
      </c>
      <c r="B61" t="s">
        <v>92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12</v>
      </c>
      <c r="P61">
        <v>5</v>
      </c>
    </row>
    <row r="62" spans="1:16" x14ac:dyDescent="0.15">
      <c r="A62" t="s">
        <v>93</v>
      </c>
      <c r="B62" t="s">
        <v>94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12</v>
      </c>
      <c r="P62">
        <v>5</v>
      </c>
    </row>
    <row r="63" spans="1:16" x14ac:dyDescent="0.15">
      <c r="A63" t="s">
        <v>95</v>
      </c>
      <c r="B63" t="s">
        <v>18</v>
      </c>
      <c r="C63">
        <v>14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14</v>
      </c>
      <c r="K63">
        <v>1484.56</v>
      </c>
      <c r="L63">
        <v>0</v>
      </c>
      <c r="M63">
        <v>0</v>
      </c>
      <c r="N63">
        <v>1484.56</v>
      </c>
      <c r="O63" t="s">
        <v>96</v>
      </c>
      <c r="P63">
        <v>18</v>
      </c>
    </row>
    <row r="64" spans="1:16" x14ac:dyDescent="0.15">
      <c r="A64" t="s">
        <v>97</v>
      </c>
      <c r="B64" t="s">
        <v>98</v>
      </c>
      <c r="C64">
        <v>0</v>
      </c>
      <c r="D64">
        <v>24</v>
      </c>
      <c r="E64">
        <v>0</v>
      </c>
      <c r="F64">
        <v>24</v>
      </c>
      <c r="G64">
        <v>0</v>
      </c>
      <c r="H64">
        <v>0</v>
      </c>
      <c r="I64">
        <v>0</v>
      </c>
      <c r="J64">
        <v>0</v>
      </c>
      <c r="K64">
        <v>0</v>
      </c>
      <c r="L64">
        <v>6484.08</v>
      </c>
      <c r="M64">
        <v>7314.24</v>
      </c>
      <c r="N64">
        <v>0</v>
      </c>
      <c r="O64" t="s">
        <v>15</v>
      </c>
      <c r="P64">
        <v>5</v>
      </c>
    </row>
    <row r="65" spans="1:16" x14ac:dyDescent="0.15">
      <c r="A65" t="s">
        <v>99</v>
      </c>
      <c r="B65" t="s">
        <v>100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15</v>
      </c>
      <c r="P65">
        <v>5</v>
      </c>
    </row>
    <row r="66" spans="1:16" x14ac:dyDescent="0.15">
      <c r="A66" t="s">
        <v>101</v>
      </c>
      <c r="B66" t="s">
        <v>102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15</v>
      </c>
      <c r="P66">
        <v>5</v>
      </c>
    </row>
    <row r="67" spans="1:16" x14ac:dyDescent="0.15">
      <c r="A67" t="s">
        <v>103</v>
      </c>
      <c r="B67" t="s">
        <v>18</v>
      </c>
      <c r="C67">
        <v>24</v>
      </c>
      <c r="D67">
        <v>0</v>
      </c>
      <c r="E67">
        <v>0</v>
      </c>
      <c r="F67">
        <v>8</v>
      </c>
      <c r="G67">
        <v>0</v>
      </c>
      <c r="H67">
        <v>0</v>
      </c>
      <c r="I67">
        <v>0</v>
      </c>
      <c r="J67">
        <v>16</v>
      </c>
      <c r="K67">
        <v>1645.44</v>
      </c>
      <c r="L67">
        <v>0</v>
      </c>
      <c r="M67">
        <v>768</v>
      </c>
      <c r="N67">
        <v>1096.96</v>
      </c>
      <c r="O67" t="s">
        <v>15</v>
      </c>
      <c r="P67">
        <v>5</v>
      </c>
    </row>
    <row r="68" spans="1:16" x14ac:dyDescent="0.15">
      <c r="A68" t="s">
        <v>104</v>
      </c>
      <c r="B68" t="s">
        <v>18</v>
      </c>
      <c r="C68">
        <v>312</v>
      </c>
      <c r="D68">
        <v>56</v>
      </c>
      <c r="E68">
        <v>0</v>
      </c>
      <c r="F68">
        <v>142</v>
      </c>
      <c r="G68">
        <v>0</v>
      </c>
      <c r="H68">
        <v>0</v>
      </c>
      <c r="I68">
        <v>0</v>
      </c>
      <c r="J68">
        <v>226</v>
      </c>
      <c r="K68">
        <v>24654.240000000002</v>
      </c>
      <c r="L68">
        <v>4425.12</v>
      </c>
      <c r="M68">
        <v>12657.88</v>
      </c>
      <c r="N68">
        <v>17858.52</v>
      </c>
      <c r="O68" t="s">
        <v>15</v>
      </c>
      <c r="P68">
        <v>5</v>
      </c>
    </row>
    <row r="69" spans="1:16" x14ac:dyDescent="0.15">
      <c r="A69" t="s">
        <v>105</v>
      </c>
      <c r="B69" t="s">
        <v>18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15</v>
      </c>
      <c r="P69">
        <v>5</v>
      </c>
    </row>
    <row r="70" spans="1:16" x14ac:dyDescent="0.15">
      <c r="A70" t="s">
        <v>106</v>
      </c>
      <c r="B70" t="s">
        <v>107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12</v>
      </c>
      <c r="P70">
        <v>5</v>
      </c>
    </row>
    <row r="71" spans="1:16" x14ac:dyDescent="0.15">
      <c r="A71" t="s">
        <v>108</v>
      </c>
      <c r="B71" t="s">
        <v>109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12</v>
      </c>
      <c r="P71">
        <v>5</v>
      </c>
    </row>
    <row r="72" spans="1:16" x14ac:dyDescent="0.15">
      <c r="A72" t="s">
        <v>110</v>
      </c>
      <c r="B72" t="s">
        <v>111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12</v>
      </c>
      <c r="P72">
        <v>5</v>
      </c>
    </row>
    <row r="73" spans="1:16" x14ac:dyDescent="0.15">
      <c r="A73" t="s">
        <v>112</v>
      </c>
      <c r="B73" t="s">
        <v>107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12</v>
      </c>
      <c r="P73">
        <v>5</v>
      </c>
    </row>
    <row r="74" spans="1:16" x14ac:dyDescent="0.15">
      <c r="A74" t="s">
        <v>113</v>
      </c>
      <c r="B74" t="s">
        <v>36</v>
      </c>
      <c r="C74">
        <v>81</v>
      </c>
      <c r="D74">
        <v>0</v>
      </c>
      <c r="E74">
        <v>0</v>
      </c>
      <c r="F74">
        <v>66</v>
      </c>
      <c r="G74">
        <v>0</v>
      </c>
      <c r="H74">
        <v>0</v>
      </c>
      <c r="I74">
        <v>0</v>
      </c>
      <c r="J74">
        <v>15</v>
      </c>
      <c r="K74">
        <v>6170.58</v>
      </c>
      <c r="L74">
        <v>0</v>
      </c>
      <c r="M74">
        <v>7291.68</v>
      </c>
      <c r="N74">
        <v>1142.7</v>
      </c>
      <c r="O74" t="s">
        <v>12</v>
      </c>
      <c r="P74">
        <v>5</v>
      </c>
    </row>
    <row r="75" spans="1:16" x14ac:dyDescent="0.15">
      <c r="A75" t="s">
        <v>113</v>
      </c>
      <c r="B75" t="s">
        <v>18</v>
      </c>
      <c r="C75">
        <v>60</v>
      </c>
      <c r="D75">
        <v>0</v>
      </c>
      <c r="E75">
        <v>0</v>
      </c>
      <c r="F75">
        <v>10</v>
      </c>
      <c r="G75">
        <v>0</v>
      </c>
      <c r="H75">
        <v>0</v>
      </c>
      <c r="I75">
        <v>0</v>
      </c>
      <c r="J75">
        <v>50</v>
      </c>
      <c r="K75">
        <v>6582</v>
      </c>
      <c r="L75">
        <v>0</v>
      </c>
      <c r="M75">
        <v>1531.4</v>
      </c>
      <c r="N75">
        <v>5485</v>
      </c>
      <c r="O75" t="s">
        <v>12</v>
      </c>
      <c r="P75">
        <v>5</v>
      </c>
    </row>
    <row r="76" spans="1:16" x14ac:dyDescent="0.15">
      <c r="A76" t="s">
        <v>114</v>
      </c>
      <c r="B76" t="s">
        <v>20</v>
      </c>
      <c r="C76">
        <v>19</v>
      </c>
      <c r="D76">
        <v>35</v>
      </c>
      <c r="E76">
        <v>0</v>
      </c>
      <c r="F76">
        <v>13</v>
      </c>
      <c r="G76">
        <v>0</v>
      </c>
      <c r="H76">
        <v>0</v>
      </c>
      <c r="I76">
        <v>0</v>
      </c>
      <c r="J76">
        <v>41</v>
      </c>
      <c r="K76">
        <v>3589.67</v>
      </c>
      <c r="L76">
        <v>8297.4500000000007</v>
      </c>
      <c r="M76">
        <v>3476.46</v>
      </c>
      <c r="N76">
        <v>7746.13</v>
      </c>
      <c r="O76" t="s">
        <v>12</v>
      </c>
      <c r="P76">
        <v>5</v>
      </c>
    </row>
    <row r="77" spans="1:16" x14ac:dyDescent="0.15">
      <c r="A77" t="s">
        <v>115</v>
      </c>
      <c r="B77" t="s">
        <v>18</v>
      </c>
      <c r="C77">
        <v>54</v>
      </c>
      <c r="D77">
        <v>0</v>
      </c>
      <c r="E77">
        <v>0</v>
      </c>
      <c r="F77">
        <v>41</v>
      </c>
      <c r="G77">
        <v>0</v>
      </c>
      <c r="H77">
        <v>0</v>
      </c>
      <c r="I77">
        <v>0</v>
      </c>
      <c r="J77">
        <v>13</v>
      </c>
      <c r="K77">
        <v>6642</v>
      </c>
      <c r="L77">
        <v>0</v>
      </c>
      <c r="M77">
        <v>7028.22</v>
      </c>
      <c r="N77">
        <v>1599</v>
      </c>
      <c r="O77" t="s">
        <v>15</v>
      </c>
      <c r="P77">
        <v>5</v>
      </c>
    </row>
    <row r="78" spans="1:16" x14ac:dyDescent="0.15">
      <c r="A78" t="s">
        <v>116</v>
      </c>
      <c r="B78" t="s">
        <v>11</v>
      </c>
      <c r="C78">
        <v>161</v>
      </c>
      <c r="D78">
        <v>100</v>
      </c>
      <c r="E78">
        <v>0</v>
      </c>
      <c r="F78">
        <v>177</v>
      </c>
      <c r="G78">
        <v>0</v>
      </c>
      <c r="H78">
        <v>0</v>
      </c>
      <c r="I78">
        <v>0</v>
      </c>
      <c r="J78">
        <v>84</v>
      </c>
      <c r="K78">
        <v>30557.8</v>
      </c>
      <c r="L78">
        <v>18980</v>
      </c>
      <c r="M78">
        <v>37895.699999999997</v>
      </c>
      <c r="N78">
        <v>15943.2</v>
      </c>
      <c r="O78" t="s">
        <v>15</v>
      </c>
      <c r="P78">
        <v>5</v>
      </c>
    </row>
    <row r="79" spans="1:16" x14ac:dyDescent="0.15">
      <c r="A79" t="s">
        <v>117</v>
      </c>
      <c r="B79" t="s">
        <v>75</v>
      </c>
      <c r="C79">
        <v>46</v>
      </c>
      <c r="D79">
        <v>0</v>
      </c>
      <c r="E79">
        <v>0</v>
      </c>
      <c r="F79">
        <v>15</v>
      </c>
      <c r="G79">
        <v>0</v>
      </c>
      <c r="H79">
        <v>0</v>
      </c>
      <c r="I79">
        <v>0</v>
      </c>
      <c r="J79">
        <v>31</v>
      </c>
      <c r="K79">
        <v>6990.16</v>
      </c>
      <c r="L79">
        <v>0</v>
      </c>
      <c r="M79">
        <v>2571.3000000000002</v>
      </c>
      <c r="N79">
        <v>4710.76</v>
      </c>
      <c r="O79" t="s">
        <v>12</v>
      </c>
      <c r="P79">
        <v>5</v>
      </c>
    </row>
    <row r="80" spans="1:16" x14ac:dyDescent="0.15">
      <c r="A80" t="s">
        <v>118</v>
      </c>
      <c r="B80" t="s">
        <v>18</v>
      </c>
      <c r="C80">
        <v>1</v>
      </c>
      <c r="D80">
        <v>140</v>
      </c>
      <c r="E80">
        <v>0</v>
      </c>
      <c r="F80">
        <v>140</v>
      </c>
      <c r="G80">
        <v>0</v>
      </c>
      <c r="H80">
        <v>0</v>
      </c>
      <c r="I80">
        <v>0</v>
      </c>
      <c r="J80">
        <v>1</v>
      </c>
      <c r="K80">
        <v>94.55</v>
      </c>
      <c r="L80">
        <v>13237</v>
      </c>
      <c r="M80">
        <v>14932.4</v>
      </c>
      <c r="N80">
        <v>94.55</v>
      </c>
      <c r="O80" t="s">
        <v>15</v>
      </c>
      <c r="P80">
        <v>5</v>
      </c>
    </row>
    <row r="81" spans="1:16" x14ac:dyDescent="0.15">
      <c r="A81" t="s">
        <v>118</v>
      </c>
      <c r="B81" t="s">
        <v>20</v>
      </c>
      <c r="C81">
        <v>0</v>
      </c>
      <c r="D81">
        <v>70</v>
      </c>
      <c r="E81">
        <v>0</v>
      </c>
      <c r="F81">
        <v>44</v>
      </c>
      <c r="G81">
        <v>0</v>
      </c>
      <c r="H81">
        <v>0</v>
      </c>
      <c r="I81">
        <v>0</v>
      </c>
      <c r="J81">
        <v>26</v>
      </c>
      <c r="K81">
        <v>0</v>
      </c>
      <c r="L81">
        <v>11063.5</v>
      </c>
      <c r="M81">
        <v>7826.32</v>
      </c>
      <c r="N81">
        <v>4109.3</v>
      </c>
      <c r="O81" t="s">
        <v>15</v>
      </c>
      <c r="P81">
        <v>5</v>
      </c>
    </row>
    <row r="82" spans="1:16" x14ac:dyDescent="0.15">
      <c r="A82" t="s">
        <v>119</v>
      </c>
      <c r="B82" t="s">
        <v>66</v>
      </c>
      <c r="C82">
        <v>96</v>
      </c>
      <c r="D82">
        <v>100</v>
      </c>
      <c r="E82">
        <v>0</v>
      </c>
      <c r="F82">
        <v>105</v>
      </c>
      <c r="G82">
        <v>0</v>
      </c>
      <c r="H82">
        <v>0</v>
      </c>
      <c r="I82">
        <v>0</v>
      </c>
      <c r="J82">
        <v>91</v>
      </c>
      <c r="K82">
        <v>14265.6</v>
      </c>
      <c r="L82">
        <v>14860</v>
      </c>
      <c r="M82">
        <v>17600.099999999999</v>
      </c>
      <c r="N82">
        <v>13522.6</v>
      </c>
      <c r="O82" t="s">
        <v>15</v>
      </c>
      <c r="P82">
        <v>5</v>
      </c>
    </row>
    <row r="83" spans="1:16" x14ac:dyDescent="0.15">
      <c r="A83" t="s">
        <v>120</v>
      </c>
      <c r="B83" t="s">
        <v>121</v>
      </c>
      <c r="C83">
        <v>6</v>
      </c>
      <c r="D83">
        <v>28</v>
      </c>
      <c r="E83">
        <v>0</v>
      </c>
      <c r="F83">
        <v>12</v>
      </c>
      <c r="G83">
        <v>0</v>
      </c>
      <c r="H83">
        <v>0</v>
      </c>
      <c r="I83">
        <v>0</v>
      </c>
      <c r="J83">
        <v>22</v>
      </c>
      <c r="K83">
        <v>948.3</v>
      </c>
      <c r="L83">
        <v>4425.3999999999996</v>
      </c>
      <c r="M83">
        <v>2139.36</v>
      </c>
      <c r="N83">
        <v>3477.1</v>
      </c>
      <c r="O83" t="s">
        <v>12</v>
      </c>
      <c r="P83">
        <v>5</v>
      </c>
    </row>
    <row r="84" spans="1:16" x14ac:dyDescent="0.15">
      <c r="A84" t="s">
        <v>122</v>
      </c>
      <c r="B84" t="s">
        <v>123</v>
      </c>
      <c r="C84">
        <v>50</v>
      </c>
      <c r="D84">
        <v>0</v>
      </c>
      <c r="E84">
        <v>0</v>
      </c>
      <c r="F84">
        <v>30</v>
      </c>
      <c r="G84">
        <v>0</v>
      </c>
      <c r="H84">
        <v>0</v>
      </c>
      <c r="I84">
        <v>0</v>
      </c>
      <c r="J84">
        <v>20</v>
      </c>
      <c r="K84">
        <v>6703.5</v>
      </c>
      <c r="L84">
        <v>0</v>
      </c>
      <c r="M84">
        <v>5782.8</v>
      </c>
      <c r="N84">
        <v>2681.4</v>
      </c>
      <c r="O84" t="s">
        <v>12</v>
      </c>
      <c r="P84">
        <v>5</v>
      </c>
    </row>
    <row r="85" spans="1:16" x14ac:dyDescent="0.15">
      <c r="A85" t="s">
        <v>124</v>
      </c>
      <c r="B85" t="s">
        <v>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7</v>
      </c>
      <c r="P85">
        <v>0</v>
      </c>
    </row>
    <row r="86" spans="1:16" x14ac:dyDescent="0.15">
      <c r="A86" t="s">
        <v>125</v>
      </c>
      <c r="B86" t="s">
        <v>42</v>
      </c>
      <c r="C86">
        <v>15</v>
      </c>
      <c r="D86">
        <v>0</v>
      </c>
      <c r="E86">
        <v>0</v>
      </c>
      <c r="F86">
        <v>13</v>
      </c>
      <c r="G86">
        <v>0</v>
      </c>
      <c r="H86">
        <v>0</v>
      </c>
      <c r="I86">
        <v>0</v>
      </c>
      <c r="J86">
        <v>2</v>
      </c>
      <c r="K86">
        <v>1965.45</v>
      </c>
      <c r="L86">
        <v>0</v>
      </c>
      <c r="M86">
        <v>2406.8200000000002</v>
      </c>
      <c r="N86">
        <v>262.06</v>
      </c>
      <c r="O86" t="s">
        <v>15</v>
      </c>
      <c r="P86">
        <v>5</v>
      </c>
    </row>
    <row r="87" spans="1:16" x14ac:dyDescent="0.15">
      <c r="A87" t="s">
        <v>126</v>
      </c>
      <c r="B87" t="s">
        <v>18</v>
      </c>
      <c r="C87">
        <v>32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32</v>
      </c>
      <c r="K87">
        <v>3705.28</v>
      </c>
      <c r="L87">
        <v>0</v>
      </c>
      <c r="M87">
        <v>0</v>
      </c>
      <c r="N87">
        <v>3705.28</v>
      </c>
      <c r="O87" t="s">
        <v>12</v>
      </c>
      <c r="P87">
        <v>5</v>
      </c>
    </row>
    <row r="88" spans="1:16" x14ac:dyDescent="0.15">
      <c r="A88" t="s">
        <v>127</v>
      </c>
      <c r="B88" t="s">
        <v>20</v>
      </c>
      <c r="C88">
        <v>18</v>
      </c>
      <c r="D88">
        <v>0</v>
      </c>
      <c r="E88">
        <v>0</v>
      </c>
      <c r="F88">
        <v>3</v>
      </c>
      <c r="G88">
        <v>0</v>
      </c>
      <c r="H88">
        <v>0</v>
      </c>
      <c r="I88">
        <v>0</v>
      </c>
      <c r="J88">
        <v>15</v>
      </c>
      <c r="K88">
        <v>3124.44</v>
      </c>
      <c r="L88">
        <v>0</v>
      </c>
      <c r="M88">
        <v>587.4</v>
      </c>
      <c r="N88">
        <v>2603.6999999999998</v>
      </c>
      <c r="O88" t="s">
        <v>15</v>
      </c>
      <c r="P88">
        <v>5</v>
      </c>
    </row>
    <row r="89" spans="1:16" x14ac:dyDescent="0.15">
      <c r="A89" t="s">
        <v>128</v>
      </c>
      <c r="B89" t="s">
        <v>11</v>
      </c>
      <c r="C89">
        <v>169</v>
      </c>
      <c r="D89">
        <v>0</v>
      </c>
      <c r="E89">
        <v>0</v>
      </c>
      <c r="F89">
        <v>73</v>
      </c>
      <c r="G89">
        <v>0</v>
      </c>
      <c r="H89">
        <v>0</v>
      </c>
      <c r="I89">
        <v>0</v>
      </c>
      <c r="J89">
        <v>96</v>
      </c>
      <c r="K89">
        <v>23514.66</v>
      </c>
      <c r="L89">
        <v>0</v>
      </c>
      <c r="M89">
        <v>10987.2</v>
      </c>
      <c r="N89">
        <v>13357.44</v>
      </c>
      <c r="O89" t="s">
        <v>12</v>
      </c>
      <c r="P89">
        <v>5</v>
      </c>
    </row>
    <row r="90" spans="1:16" x14ac:dyDescent="0.15">
      <c r="A90" t="s">
        <v>129</v>
      </c>
      <c r="B90" t="s">
        <v>130</v>
      </c>
      <c r="C90">
        <v>75</v>
      </c>
      <c r="D90">
        <v>0</v>
      </c>
      <c r="E90">
        <v>0</v>
      </c>
      <c r="F90">
        <v>34</v>
      </c>
      <c r="G90">
        <v>0</v>
      </c>
      <c r="H90">
        <v>0</v>
      </c>
      <c r="I90">
        <v>0</v>
      </c>
      <c r="J90">
        <v>41</v>
      </c>
      <c r="K90">
        <v>5217.75</v>
      </c>
      <c r="L90">
        <v>0</v>
      </c>
      <c r="M90">
        <v>2668.32</v>
      </c>
      <c r="N90">
        <v>2852.37</v>
      </c>
      <c r="O90" t="s">
        <v>15</v>
      </c>
      <c r="P90">
        <v>5</v>
      </c>
    </row>
    <row r="91" spans="1:16" x14ac:dyDescent="0.15">
      <c r="A91" t="s">
        <v>131</v>
      </c>
      <c r="B91" t="s">
        <v>18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15</v>
      </c>
      <c r="P91">
        <v>5</v>
      </c>
    </row>
    <row r="92" spans="1:16" x14ac:dyDescent="0.15">
      <c r="A92" t="s">
        <v>132</v>
      </c>
      <c r="B92" t="s">
        <v>75</v>
      </c>
      <c r="C92">
        <v>45</v>
      </c>
      <c r="D92">
        <v>0</v>
      </c>
      <c r="E92">
        <v>0</v>
      </c>
      <c r="F92">
        <v>5</v>
      </c>
      <c r="G92">
        <v>0</v>
      </c>
      <c r="H92">
        <v>0</v>
      </c>
      <c r="I92">
        <v>0</v>
      </c>
      <c r="J92">
        <v>40</v>
      </c>
      <c r="K92">
        <v>3829.5</v>
      </c>
      <c r="L92">
        <v>0</v>
      </c>
      <c r="M92">
        <v>480</v>
      </c>
      <c r="N92">
        <v>3404</v>
      </c>
      <c r="O92" t="s">
        <v>12</v>
      </c>
      <c r="P92">
        <v>5</v>
      </c>
    </row>
    <row r="93" spans="1:16" x14ac:dyDescent="0.15">
      <c r="A93" t="s">
        <v>133</v>
      </c>
      <c r="B93" t="s">
        <v>75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12</v>
      </c>
      <c r="P93">
        <v>5</v>
      </c>
    </row>
    <row r="94" spans="1:16" x14ac:dyDescent="0.15">
      <c r="A94" t="s">
        <v>134</v>
      </c>
      <c r="B94" t="s">
        <v>135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12</v>
      </c>
      <c r="P94">
        <v>5</v>
      </c>
    </row>
    <row r="95" spans="1:16" x14ac:dyDescent="0.15">
      <c r="A95" t="s">
        <v>136</v>
      </c>
      <c r="B95" t="s">
        <v>28</v>
      </c>
      <c r="C95">
        <v>17</v>
      </c>
      <c r="D95">
        <v>200</v>
      </c>
      <c r="E95">
        <v>0</v>
      </c>
      <c r="F95">
        <v>95</v>
      </c>
      <c r="G95">
        <v>0</v>
      </c>
      <c r="H95">
        <v>0</v>
      </c>
      <c r="I95">
        <v>0</v>
      </c>
      <c r="J95">
        <v>122</v>
      </c>
      <c r="K95">
        <v>1722.27</v>
      </c>
      <c r="L95">
        <v>20262</v>
      </c>
      <c r="M95">
        <v>10742.32</v>
      </c>
      <c r="N95">
        <v>12359.82</v>
      </c>
      <c r="O95" t="s">
        <v>15</v>
      </c>
      <c r="P95">
        <v>5</v>
      </c>
    </row>
    <row r="96" spans="1:16" x14ac:dyDescent="0.15">
      <c r="A96" t="s">
        <v>137</v>
      </c>
      <c r="B96" t="s">
        <v>42</v>
      </c>
      <c r="C96">
        <v>35</v>
      </c>
      <c r="D96">
        <v>0</v>
      </c>
      <c r="E96">
        <v>0</v>
      </c>
      <c r="F96">
        <v>12</v>
      </c>
      <c r="G96">
        <v>0</v>
      </c>
      <c r="H96">
        <v>0</v>
      </c>
      <c r="I96">
        <v>0</v>
      </c>
      <c r="J96">
        <v>23</v>
      </c>
      <c r="K96">
        <v>3640.7</v>
      </c>
      <c r="L96">
        <v>0</v>
      </c>
      <c r="M96">
        <v>1408.08</v>
      </c>
      <c r="N96">
        <v>2392.46</v>
      </c>
      <c r="O96" t="s">
        <v>12</v>
      </c>
      <c r="P96">
        <v>5</v>
      </c>
    </row>
    <row r="97" spans="1:16" x14ac:dyDescent="0.15">
      <c r="A97" t="s">
        <v>138</v>
      </c>
      <c r="B97" t="s">
        <v>34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12</v>
      </c>
      <c r="P97">
        <v>5</v>
      </c>
    </row>
    <row r="98" spans="1:16" x14ac:dyDescent="0.15">
      <c r="A98" t="s">
        <v>139</v>
      </c>
      <c r="B98" t="s">
        <v>11</v>
      </c>
      <c r="C98">
        <v>0</v>
      </c>
      <c r="D98">
        <v>500</v>
      </c>
      <c r="E98">
        <v>0</v>
      </c>
      <c r="F98">
        <v>217</v>
      </c>
      <c r="G98">
        <v>0</v>
      </c>
      <c r="H98">
        <v>0</v>
      </c>
      <c r="I98">
        <v>0</v>
      </c>
      <c r="J98">
        <v>283</v>
      </c>
      <c r="K98">
        <v>0</v>
      </c>
      <c r="L98">
        <v>82735</v>
      </c>
      <c r="M98">
        <v>40318.559999999998</v>
      </c>
      <c r="N98">
        <v>46828.01</v>
      </c>
      <c r="O98" t="s">
        <v>15</v>
      </c>
      <c r="P98">
        <v>5</v>
      </c>
    </row>
    <row r="99" spans="1:16" x14ac:dyDescent="0.15">
      <c r="A99" t="s">
        <v>140</v>
      </c>
      <c r="B99" t="s">
        <v>141</v>
      </c>
      <c r="C99">
        <v>0</v>
      </c>
      <c r="D99">
        <v>56</v>
      </c>
      <c r="E99">
        <v>0</v>
      </c>
      <c r="F99">
        <v>0</v>
      </c>
      <c r="G99">
        <v>0</v>
      </c>
      <c r="H99">
        <v>0</v>
      </c>
      <c r="I99">
        <v>0</v>
      </c>
      <c r="J99">
        <v>56</v>
      </c>
      <c r="K99">
        <v>0</v>
      </c>
      <c r="L99">
        <v>9909.76</v>
      </c>
      <c r="M99">
        <v>0</v>
      </c>
      <c r="N99">
        <v>9909.76</v>
      </c>
      <c r="O99" t="s">
        <v>15</v>
      </c>
      <c r="P99">
        <v>5</v>
      </c>
    </row>
    <row r="100" spans="1:16" x14ac:dyDescent="0.15">
      <c r="A100" t="s">
        <v>142</v>
      </c>
      <c r="B100" t="s">
        <v>94</v>
      </c>
      <c r="C100">
        <v>71</v>
      </c>
      <c r="D100">
        <v>0</v>
      </c>
      <c r="E100">
        <v>0</v>
      </c>
      <c r="F100">
        <v>71</v>
      </c>
      <c r="G100">
        <v>0</v>
      </c>
      <c r="H100">
        <v>0</v>
      </c>
      <c r="I100">
        <v>0</v>
      </c>
      <c r="J100">
        <v>0</v>
      </c>
      <c r="K100">
        <v>9638.9599999999991</v>
      </c>
      <c r="L100">
        <v>0</v>
      </c>
      <c r="M100">
        <v>10872.94</v>
      </c>
      <c r="N100">
        <v>0</v>
      </c>
      <c r="O100" t="s">
        <v>15</v>
      </c>
      <c r="P100">
        <v>5</v>
      </c>
    </row>
    <row r="101" spans="1:16" x14ac:dyDescent="0.15">
      <c r="A101" t="s">
        <v>143</v>
      </c>
      <c r="B101" t="s">
        <v>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7</v>
      </c>
      <c r="P101">
        <v>0</v>
      </c>
    </row>
    <row r="102" spans="1:16" x14ac:dyDescent="0.15">
      <c r="A102" t="s">
        <v>144</v>
      </c>
      <c r="B102" t="s">
        <v>145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146</v>
      </c>
      <c r="P102">
        <v>18</v>
      </c>
    </row>
    <row r="103" spans="1:16" x14ac:dyDescent="0.15">
      <c r="A103" t="s">
        <v>147</v>
      </c>
      <c r="B103" t="s">
        <v>148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146</v>
      </c>
      <c r="P103">
        <v>18</v>
      </c>
    </row>
    <row r="104" spans="1:16" x14ac:dyDescent="0.15">
      <c r="A104" t="s">
        <v>149</v>
      </c>
      <c r="B104" t="s">
        <v>11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12</v>
      </c>
      <c r="P104">
        <v>5</v>
      </c>
    </row>
    <row r="105" spans="1:16" x14ac:dyDescent="0.15">
      <c r="A105" t="s">
        <v>150</v>
      </c>
      <c r="B105" t="s">
        <v>151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12</v>
      </c>
      <c r="P105">
        <v>5</v>
      </c>
    </row>
    <row r="106" spans="1:16" x14ac:dyDescent="0.15">
      <c r="A106" t="s">
        <v>152</v>
      </c>
      <c r="B106" t="s">
        <v>151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12</v>
      </c>
      <c r="P106">
        <v>5</v>
      </c>
    </row>
    <row r="107" spans="1:16" x14ac:dyDescent="0.15">
      <c r="A107" t="s">
        <v>153</v>
      </c>
      <c r="B107" t="s">
        <v>154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155</v>
      </c>
      <c r="P107">
        <v>18</v>
      </c>
    </row>
    <row r="108" spans="1:16" x14ac:dyDescent="0.15">
      <c r="A108" t="s">
        <v>156</v>
      </c>
      <c r="B108" t="s">
        <v>59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155</v>
      </c>
      <c r="P108">
        <v>18</v>
      </c>
    </row>
    <row r="109" spans="1:16" x14ac:dyDescent="0.15">
      <c r="A109" t="s">
        <v>157</v>
      </c>
      <c r="B109" t="s">
        <v>59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155</v>
      </c>
      <c r="P109">
        <v>18</v>
      </c>
    </row>
    <row r="110" spans="1:16" x14ac:dyDescent="0.15">
      <c r="A110" t="s">
        <v>158</v>
      </c>
      <c r="B110" t="s">
        <v>20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159</v>
      </c>
      <c r="P110">
        <v>5</v>
      </c>
    </row>
    <row r="111" spans="1:16" x14ac:dyDescent="0.15">
      <c r="A111" t="s">
        <v>160</v>
      </c>
      <c r="B111" t="s">
        <v>20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12</v>
      </c>
      <c r="P111">
        <v>5</v>
      </c>
    </row>
    <row r="112" spans="1:16" x14ac:dyDescent="0.15">
      <c r="A112" t="s">
        <v>161</v>
      </c>
      <c r="B112" t="s">
        <v>18</v>
      </c>
      <c r="C112">
        <v>42</v>
      </c>
      <c r="D112">
        <v>224</v>
      </c>
      <c r="E112">
        <v>0</v>
      </c>
      <c r="F112">
        <v>166</v>
      </c>
      <c r="G112">
        <v>0</v>
      </c>
      <c r="H112">
        <v>0</v>
      </c>
      <c r="I112">
        <v>0</v>
      </c>
      <c r="J112">
        <v>100</v>
      </c>
      <c r="K112">
        <v>3177.3</v>
      </c>
      <c r="L112">
        <v>16945.599999999999</v>
      </c>
      <c r="M112">
        <v>14166.44</v>
      </c>
      <c r="N112">
        <v>7565</v>
      </c>
      <c r="O112" t="s">
        <v>15</v>
      </c>
      <c r="P112">
        <v>5</v>
      </c>
    </row>
    <row r="113" spans="1:16" x14ac:dyDescent="0.15">
      <c r="A113" t="s">
        <v>162</v>
      </c>
      <c r="B113" t="s">
        <v>42</v>
      </c>
      <c r="C113">
        <v>26</v>
      </c>
      <c r="D113">
        <v>0</v>
      </c>
      <c r="E113">
        <v>0</v>
      </c>
      <c r="F113">
        <v>6</v>
      </c>
      <c r="G113">
        <v>0</v>
      </c>
      <c r="H113">
        <v>0</v>
      </c>
      <c r="I113">
        <v>0</v>
      </c>
      <c r="J113">
        <v>20</v>
      </c>
      <c r="K113">
        <v>4355.26</v>
      </c>
      <c r="L113">
        <v>0</v>
      </c>
      <c r="M113">
        <v>1133.76</v>
      </c>
      <c r="N113">
        <v>3350.2</v>
      </c>
      <c r="O113" t="s">
        <v>12</v>
      </c>
      <c r="P113">
        <v>5</v>
      </c>
    </row>
    <row r="114" spans="1:16" x14ac:dyDescent="0.15">
      <c r="A114" t="s">
        <v>163</v>
      </c>
      <c r="B114" t="s">
        <v>42</v>
      </c>
      <c r="C114">
        <v>109</v>
      </c>
      <c r="D114">
        <v>0</v>
      </c>
      <c r="E114">
        <v>0</v>
      </c>
      <c r="F114">
        <v>39</v>
      </c>
      <c r="G114">
        <v>0</v>
      </c>
      <c r="H114">
        <v>0</v>
      </c>
      <c r="I114">
        <v>0</v>
      </c>
      <c r="J114">
        <v>70</v>
      </c>
      <c r="K114">
        <v>16860.12</v>
      </c>
      <c r="L114">
        <v>0</v>
      </c>
      <c r="M114">
        <v>6804.72</v>
      </c>
      <c r="N114">
        <v>10827.6</v>
      </c>
      <c r="O114" t="s">
        <v>15</v>
      </c>
      <c r="P114">
        <v>5</v>
      </c>
    </row>
    <row r="115" spans="1:16" x14ac:dyDescent="0.15">
      <c r="A115" t="s">
        <v>164</v>
      </c>
      <c r="B115" t="s">
        <v>34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15</v>
      </c>
      <c r="P115">
        <v>5</v>
      </c>
    </row>
    <row r="116" spans="1:16" x14ac:dyDescent="0.15">
      <c r="A116" t="s">
        <v>165</v>
      </c>
      <c r="B116" t="s">
        <v>36</v>
      </c>
      <c r="C116">
        <v>83</v>
      </c>
      <c r="D116">
        <v>0</v>
      </c>
      <c r="E116">
        <v>0</v>
      </c>
      <c r="F116">
        <v>14</v>
      </c>
      <c r="G116">
        <v>0</v>
      </c>
      <c r="H116">
        <v>0</v>
      </c>
      <c r="I116">
        <v>0</v>
      </c>
      <c r="J116">
        <v>69</v>
      </c>
      <c r="K116">
        <v>8934.1200000000008</v>
      </c>
      <c r="L116">
        <v>0</v>
      </c>
      <c r="M116">
        <v>1792</v>
      </c>
      <c r="N116">
        <v>7427.16</v>
      </c>
      <c r="O116" t="s">
        <v>15</v>
      </c>
      <c r="P116">
        <v>5</v>
      </c>
    </row>
    <row r="117" spans="1:16" x14ac:dyDescent="0.15">
      <c r="A117" t="s">
        <v>166</v>
      </c>
      <c r="B117" t="s">
        <v>11</v>
      </c>
      <c r="C117">
        <v>60</v>
      </c>
      <c r="D117">
        <v>0</v>
      </c>
      <c r="E117">
        <v>0</v>
      </c>
      <c r="F117">
        <v>3</v>
      </c>
      <c r="G117">
        <v>0</v>
      </c>
      <c r="H117">
        <v>0</v>
      </c>
      <c r="I117">
        <v>0</v>
      </c>
      <c r="J117">
        <v>57</v>
      </c>
      <c r="K117">
        <v>7943.4</v>
      </c>
      <c r="L117">
        <v>0</v>
      </c>
      <c r="M117">
        <v>448.02</v>
      </c>
      <c r="N117">
        <v>7546.23</v>
      </c>
      <c r="O117" t="s">
        <v>15</v>
      </c>
      <c r="P117">
        <v>5</v>
      </c>
    </row>
    <row r="118" spans="1:16" x14ac:dyDescent="0.15">
      <c r="A118" t="s">
        <v>167</v>
      </c>
      <c r="B118" t="s">
        <v>20</v>
      </c>
      <c r="C118">
        <v>51</v>
      </c>
      <c r="D118">
        <v>28</v>
      </c>
      <c r="E118">
        <v>0</v>
      </c>
      <c r="F118">
        <v>50</v>
      </c>
      <c r="G118">
        <v>0</v>
      </c>
      <c r="H118">
        <v>0</v>
      </c>
      <c r="I118">
        <v>0</v>
      </c>
      <c r="J118">
        <v>29</v>
      </c>
      <c r="K118">
        <v>7749.96</v>
      </c>
      <c r="L118">
        <v>4254.88</v>
      </c>
      <c r="M118">
        <v>8571</v>
      </c>
      <c r="N118">
        <v>4406.84</v>
      </c>
      <c r="O118" t="s">
        <v>15</v>
      </c>
      <c r="P118">
        <v>5</v>
      </c>
    </row>
    <row r="119" spans="1:16" x14ac:dyDescent="0.15">
      <c r="A119" t="s">
        <v>168</v>
      </c>
      <c r="B119" t="s">
        <v>11</v>
      </c>
      <c r="C119">
        <v>123</v>
      </c>
      <c r="D119">
        <v>0</v>
      </c>
      <c r="E119">
        <v>0</v>
      </c>
      <c r="F119">
        <v>43</v>
      </c>
      <c r="G119">
        <v>0</v>
      </c>
      <c r="H119">
        <v>0</v>
      </c>
      <c r="I119">
        <v>0</v>
      </c>
      <c r="J119">
        <v>80</v>
      </c>
      <c r="K119">
        <v>21350.34</v>
      </c>
      <c r="L119">
        <v>0</v>
      </c>
      <c r="M119">
        <v>8419.4</v>
      </c>
      <c r="N119">
        <v>13886.4</v>
      </c>
      <c r="O119" t="s">
        <v>15</v>
      </c>
      <c r="P119">
        <v>5</v>
      </c>
    </row>
    <row r="120" spans="1:16" x14ac:dyDescent="0.15">
      <c r="A120" t="s">
        <v>169</v>
      </c>
      <c r="B120" t="s">
        <v>11</v>
      </c>
      <c r="C120">
        <v>53</v>
      </c>
      <c r="D120">
        <v>50</v>
      </c>
      <c r="E120">
        <v>0</v>
      </c>
      <c r="F120">
        <v>53</v>
      </c>
      <c r="G120">
        <v>0</v>
      </c>
      <c r="H120">
        <v>0</v>
      </c>
      <c r="I120">
        <v>0</v>
      </c>
      <c r="J120">
        <v>50</v>
      </c>
      <c r="K120">
        <v>8878.0300000000007</v>
      </c>
      <c r="L120">
        <v>8375.5</v>
      </c>
      <c r="M120">
        <v>9808.3799999999992</v>
      </c>
      <c r="N120">
        <v>8375.5</v>
      </c>
      <c r="O120" t="s">
        <v>15</v>
      </c>
      <c r="P120">
        <v>5</v>
      </c>
    </row>
    <row r="121" spans="1:16" x14ac:dyDescent="0.15">
      <c r="A121" t="s">
        <v>170</v>
      </c>
      <c r="B121" t="s">
        <v>42</v>
      </c>
      <c r="C121">
        <v>54</v>
      </c>
      <c r="D121">
        <v>0</v>
      </c>
      <c r="E121">
        <v>0</v>
      </c>
      <c r="F121">
        <v>34</v>
      </c>
      <c r="G121">
        <v>0</v>
      </c>
      <c r="H121">
        <v>0</v>
      </c>
      <c r="I121">
        <v>0</v>
      </c>
      <c r="J121">
        <v>20</v>
      </c>
      <c r="K121">
        <v>6127.38</v>
      </c>
      <c r="L121">
        <v>0</v>
      </c>
      <c r="M121">
        <v>4352</v>
      </c>
      <c r="N121">
        <v>2269.4</v>
      </c>
      <c r="O121" t="s">
        <v>15</v>
      </c>
      <c r="P121">
        <v>5</v>
      </c>
    </row>
    <row r="122" spans="1:16" x14ac:dyDescent="0.15">
      <c r="A122" t="s">
        <v>171</v>
      </c>
      <c r="B122" t="s">
        <v>172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12</v>
      </c>
      <c r="P122">
        <v>5</v>
      </c>
    </row>
    <row r="123" spans="1:16" x14ac:dyDescent="0.15">
      <c r="A123" t="s">
        <v>173</v>
      </c>
      <c r="B123" t="s">
        <v>135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12</v>
      </c>
      <c r="P123">
        <v>5</v>
      </c>
    </row>
    <row r="124" spans="1:16" x14ac:dyDescent="0.15">
      <c r="A124" t="s">
        <v>174</v>
      </c>
      <c r="B124" t="s">
        <v>54</v>
      </c>
      <c r="C124">
        <v>242</v>
      </c>
      <c r="D124">
        <v>0</v>
      </c>
      <c r="E124">
        <v>0</v>
      </c>
      <c r="F124">
        <v>127</v>
      </c>
      <c r="G124">
        <v>0</v>
      </c>
      <c r="H124">
        <v>0</v>
      </c>
      <c r="I124">
        <v>0</v>
      </c>
      <c r="J124">
        <v>115</v>
      </c>
      <c r="K124">
        <v>22881.1</v>
      </c>
      <c r="L124">
        <v>0</v>
      </c>
      <c r="M124">
        <v>12799.2</v>
      </c>
      <c r="N124">
        <v>10873.25</v>
      </c>
      <c r="O124" t="s">
        <v>15</v>
      </c>
      <c r="P124">
        <v>5</v>
      </c>
    </row>
    <row r="125" spans="1:16" x14ac:dyDescent="0.15">
      <c r="A125" t="s">
        <v>175</v>
      </c>
      <c r="B125" t="s">
        <v>75</v>
      </c>
      <c r="C125">
        <v>99</v>
      </c>
      <c r="D125">
        <v>0</v>
      </c>
      <c r="E125">
        <v>0</v>
      </c>
      <c r="F125">
        <v>22</v>
      </c>
      <c r="G125">
        <v>0</v>
      </c>
      <c r="H125">
        <v>0</v>
      </c>
      <c r="I125">
        <v>0</v>
      </c>
      <c r="J125">
        <v>77</v>
      </c>
      <c r="K125">
        <v>17552.7</v>
      </c>
      <c r="L125">
        <v>0</v>
      </c>
      <c r="M125">
        <v>4710.2</v>
      </c>
      <c r="N125">
        <v>13652.1</v>
      </c>
      <c r="O125" t="s">
        <v>15</v>
      </c>
      <c r="P125">
        <v>5</v>
      </c>
    </row>
    <row r="126" spans="1:16" x14ac:dyDescent="0.15">
      <c r="A126" t="s">
        <v>176</v>
      </c>
      <c r="B126" t="s">
        <v>177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178</v>
      </c>
      <c r="P126">
        <v>0</v>
      </c>
    </row>
    <row r="127" spans="1:16" x14ac:dyDescent="0.15">
      <c r="A127" t="s">
        <v>179</v>
      </c>
      <c r="B127" t="s">
        <v>20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15</v>
      </c>
      <c r="P127">
        <v>5</v>
      </c>
    </row>
    <row r="128" spans="1:16" x14ac:dyDescent="0.15">
      <c r="A128" t="s">
        <v>180</v>
      </c>
      <c r="B128" t="s">
        <v>34</v>
      </c>
      <c r="C128">
        <v>23</v>
      </c>
      <c r="D128">
        <v>25</v>
      </c>
      <c r="E128">
        <v>0</v>
      </c>
      <c r="F128">
        <v>28</v>
      </c>
      <c r="G128">
        <v>0</v>
      </c>
      <c r="H128">
        <v>0</v>
      </c>
      <c r="I128">
        <v>0</v>
      </c>
      <c r="J128">
        <v>20</v>
      </c>
      <c r="K128">
        <v>2252.62</v>
      </c>
      <c r="L128">
        <v>2448.5</v>
      </c>
      <c r="M128">
        <v>3093.44</v>
      </c>
      <c r="N128">
        <v>1958.8</v>
      </c>
      <c r="O128" t="s">
        <v>15</v>
      </c>
      <c r="P128">
        <v>5</v>
      </c>
    </row>
    <row r="129" spans="1:16" x14ac:dyDescent="0.15">
      <c r="A129" t="s">
        <v>7</v>
      </c>
      <c r="B129" t="s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7</v>
      </c>
      <c r="P129">
        <v>0</v>
      </c>
    </row>
    <row r="130" spans="1:16" x14ac:dyDescent="0.15">
      <c r="A130" t="s">
        <v>7</v>
      </c>
      <c r="B130" t="s">
        <v>7</v>
      </c>
      <c r="C130">
        <v>4238</v>
      </c>
      <c r="D130">
        <v>3598</v>
      </c>
      <c r="E130">
        <v>3</v>
      </c>
      <c r="F130">
        <v>3266</v>
      </c>
      <c r="G130">
        <v>0</v>
      </c>
      <c r="H130">
        <v>0</v>
      </c>
      <c r="I130">
        <v>0</v>
      </c>
      <c r="J130">
        <v>4573</v>
      </c>
      <c r="K130">
        <v>503109.63</v>
      </c>
      <c r="L130">
        <v>503831.55</v>
      </c>
      <c r="M130">
        <v>474835.01</v>
      </c>
      <c r="N130">
        <v>587491.67000000004</v>
      </c>
      <c r="O130" t="s">
        <v>7</v>
      </c>
      <c r="P130">
        <v>0</v>
      </c>
    </row>
    <row r="131" spans="1:16" x14ac:dyDescent="0.15">
      <c r="A131" t="s">
        <v>181</v>
      </c>
      <c r="B131" t="s">
        <v>7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7</v>
      </c>
      <c r="P131">
        <v>0</v>
      </c>
    </row>
    <row r="132" spans="1:16" x14ac:dyDescent="0.15">
      <c r="A132" t="s">
        <v>7</v>
      </c>
      <c r="B132" t="s">
        <v>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7</v>
      </c>
      <c r="P132">
        <v>0</v>
      </c>
    </row>
    <row r="133" spans="1:16" x14ac:dyDescent="0.15">
      <c r="A133" t="s">
        <v>182</v>
      </c>
      <c r="B133" t="s">
        <v>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7</v>
      </c>
      <c r="P133">
        <v>0</v>
      </c>
    </row>
    <row r="134" spans="1:16" x14ac:dyDescent="0.15">
      <c r="A134" t="s">
        <v>183</v>
      </c>
      <c r="B134" t="s">
        <v>7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7</v>
      </c>
      <c r="P134">
        <v>0</v>
      </c>
    </row>
    <row r="135" spans="1:16" x14ac:dyDescent="0.15">
      <c r="A135" t="s">
        <v>184</v>
      </c>
      <c r="B135" t="s">
        <v>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7</v>
      </c>
      <c r="P135">
        <v>0</v>
      </c>
    </row>
    <row r="136" spans="1:16" x14ac:dyDescent="0.15">
      <c r="A136" t="s">
        <v>185</v>
      </c>
      <c r="B136" t="s">
        <v>7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7</v>
      </c>
      <c r="P136">
        <v>0</v>
      </c>
    </row>
    <row r="137" spans="1:16" x14ac:dyDescent="0.15">
      <c r="A137" t="s">
        <v>186</v>
      </c>
      <c r="B137" t="s">
        <v>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7</v>
      </c>
      <c r="P137">
        <v>0</v>
      </c>
    </row>
    <row r="138" spans="1:16" x14ac:dyDescent="0.15">
      <c r="A138" t="s">
        <v>187</v>
      </c>
      <c r="B138" t="s">
        <v>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7</v>
      </c>
      <c r="P138">
        <v>0</v>
      </c>
    </row>
    <row r="139" spans="1:16" x14ac:dyDescent="0.15">
      <c r="A139" t="s">
        <v>188</v>
      </c>
      <c r="B139" t="s">
        <v>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7</v>
      </c>
      <c r="P139">
        <v>0</v>
      </c>
    </row>
    <row r="140" spans="1:16" x14ac:dyDescent="0.15">
      <c r="A140" t="s">
        <v>189</v>
      </c>
      <c r="B140" t="s">
        <v>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7</v>
      </c>
      <c r="P140">
        <v>0</v>
      </c>
    </row>
    <row r="141" spans="1:16" x14ac:dyDescent="0.15">
      <c r="A141" t="s">
        <v>7</v>
      </c>
      <c r="B141" t="s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7</v>
      </c>
      <c r="P141">
        <v>0</v>
      </c>
    </row>
    <row r="158" spans="1:9" x14ac:dyDescent="0.15">
      <c r="A158" s="4" t="s">
        <v>190</v>
      </c>
      <c r="B158" s="4"/>
      <c r="C158" s="4"/>
      <c r="D158" s="4"/>
      <c r="E158" s="4"/>
      <c r="F158" s="4"/>
      <c r="G158" s="4"/>
      <c r="H158" s="4"/>
      <c r="I158" s="4"/>
    </row>
    <row r="159" spans="1:9" x14ac:dyDescent="0.15">
      <c r="A159" s="4"/>
      <c r="B159" s="4"/>
      <c r="C159" s="4"/>
      <c r="D159" s="4"/>
      <c r="E159" s="4"/>
      <c r="F159" s="4"/>
      <c r="G159" s="4"/>
      <c r="H159" s="4"/>
      <c r="I159" s="4"/>
    </row>
    <row r="160" spans="1:9" x14ac:dyDescent="0.15">
      <c r="A160" s="5" t="s">
        <v>191</v>
      </c>
      <c r="B160" s="5" t="s">
        <v>192</v>
      </c>
      <c r="C160" s="5" t="s">
        <v>193</v>
      </c>
      <c r="D160" s="5" t="s">
        <v>194</v>
      </c>
      <c r="E160" s="5" t="s">
        <v>195</v>
      </c>
      <c r="F160" s="5" t="s">
        <v>196</v>
      </c>
      <c r="G160" s="5" t="s">
        <v>197</v>
      </c>
      <c r="H160" s="5" t="s">
        <v>198</v>
      </c>
      <c r="I160" s="5" t="s">
        <v>199</v>
      </c>
    </row>
    <row r="161" spans="1:9" x14ac:dyDescent="0.15">
      <c r="A161">
        <v>1</v>
      </c>
      <c r="B161" t="s">
        <v>200</v>
      </c>
      <c r="C161" t="s">
        <v>11</v>
      </c>
      <c r="D161" t="s">
        <v>201</v>
      </c>
      <c r="E161" t="s">
        <v>202</v>
      </c>
      <c r="F161" s="6">
        <v>46326</v>
      </c>
      <c r="G161">
        <v>131.03</v>
      </c>
      <c r="H161">
        <v>4</v>
      </c>
      <c r="I161">
        <v>524.12</v>
      </c>
    </row>
    <row r="162" spans="1:9" x14ac:dyDescent="0.15">
      <c r="A162">
        <v>2</v>
      </c>
      <c r="B162" t="s">
        <v>203</v>
      </c>
      <c r="C162" t="s">
        <v>18</v>
      </c>
      <c r="D162" t="s">
        <v>201</v>
      </c>
      <c r="E162" t="s">
        <v>204</v>
      </c>
      <c r="F162" s="6">
        <v>46295</v>
      </c>
      <c r="G162">
        <v>123</v>
      </c>
      <c r="H162">
        <v>1</v>
      </c>
      <c r="I162">
        <v>123</v>
      </c>
    </row>
    <row r="165" spans="1:9" x14ac:dyDescent="0.15">
      <c r="G165" t="s">
        <v>205</v>
      </c>
      <c r="I165">
        <v>647.12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Bhosale</dc:creator>
  <cp:lastModifiedBy>X</cp:lastModifiedBy>
  <dcterms:created xsi:type="dcterms:W3CDTF">2026-10-15T12:41:27Z</dcterms:created>
  <dcterms:modified xsi:type="dcterms:W3CDTF">2026-10-15T12:41:27Z</dcterms:modified>
</cp:coreProperties>
</file>