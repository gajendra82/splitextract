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S105" sheetId="1" r:id="rId4"/>
  </sheets>
  <definedNames/>
  <calcPr/>
</workbook>
</file>

<file path=xl/sharedStrings.xml><?xml version="1.0" encoding="utf-8"?>
<sst xmlns="http://schemas.openxmlformats.org/spreadsheetml/2006/main" count="218" uniqueCount="110">
  <si>
    <t xml:space="preserve">SUNDERLAL ENTERPRISES                   </t>
  </si>
  <si>
    <t>S.L.HEIGHTS,MAIN BAZZAR PETH,            From : 01/09/26</t>
  </si>
  <si>
    <t>NEAR RAILWAY STATION,URULI KANCHAN,      To : 30/09/26</t>
  </si>
  <si>
    <t>PUNE-412202                             Report Date : 15-Oct-2026</t>
  </si>
  <si>
    <t>STOCK &amp; SALE STATEMENT</t>
  </si>
  <si>
    <t>Company Name : THE HIMALAYA DRUG CO.[ZANDRA]</t>
  </si>
  <si>
    <t>ARJUNA CAP</t>
  </si>
  <si>
    <t>30 CAP</t>
  </si>
  <si>
    <t>30049099</t>
  </si>
  <si>
    <t>BONNISAN DROPS</t>
  </si>
  <si>
    <t xml:space="preserve"> 30 ML</t>
  </si>
  <si>
    <t>BONNISAN LIQUID</t>
  </si>
  <si>
    <t>120 ML</t>
  </si>
  <si>
    <t>BONNISPASZ DROPS</t>
  </si>
  <si>
    <t>15 ML</t>
  </si>
  <si>
    <t>BRESOL NS DROPS</t>
  </si>
  <si>
    <t>10 ML</t>
  </si>
  <si>
    <t>BRESOL SYRUP 100ML</t>
  </si>
  <si>
    <t>100 ML</t>
  </si>
  <si>
    <t>BRESOL SYRUP 200ML</t>
  </si>
  <si>
    <t>200 ML</t>
  </si>
  <si>
    <t>BRESOL TAB</t>
  </si>
  <si>
    <t>60 TAB</t>
  </si>
  <si>
    <t>CYSTONE FORTE TAB</t>
  </si>
  <si>
    <t>30 TAB</t>
  </si>
  <si>
    <t>CYSTONE SYRUP</t>
  </si>
  <si>
    <t>CYSTONE SYRUP [BIG]</t>
  </si>
  <si>
    <t>CYSTONE TABS</t>
  </si>
  <si>
    <t>EVECARE CAP</t>
  </si>
  <si>
    <t>EVECARE FORTE SYRUP</t>
  </si>
  <si>
    <t>EVECARE FORTE TAB</t>
  </si>
  <si>
    <t>10*TAB</t>
  </si>
  <si>
    <t>EVECARE SYRUP</t>
  </si>
  <si>
    <t>EVECARE SYRUP [BIG]</t>
  </si>
  <si>
    <t>400 ML</t>
  </si>
  <si>
    <t>GALACTOSURE GRANULES</t>
  </si>
  <si>
    <t>200GM</t>
  </si>
  <si>
    <t>GERIFORTE SYRUP</t>
  </si>
  <si>
    <t>GERIFORTE TABS</t>
  </si>
  <si>
    <t>00 TAB</t>
  </si>
  <si>
    <t>HIMCOSPAZ CAP</t>
  </si>
  <si>
    <t>10 CAP</t>
  </si>
  <si>
    <t>HIMPLASIA TAB</t>
  </si>
  <si>
    <t>HIORA GA GEL</t>
  </si>
  <si>
    <t>HIORA K MOUTH WASH</t>
  </si>
  <si>
    <t>215 ML</t>
  </si>
  <si>
    <t>33069000</t>
  </si>
  <si>
    <t>HIORA K TOOTHPASTE [BIG]</t>
  </si>
  <si>
    <t>100 GM</t>
  </si>
  <si>
    <t>33061020</t>
  </si>
  <si>
    <t>HIORA K TOOTHPASTE [SMALL]</t>
  </si>
  <si>
    <t>50 GM</t>
  </si>
  <si>
    <t>HIORA MOUTH WASH</t>
  </si>
  <si>
    <t>HIORA SHINE TOOTHPASTE [BIG]</t>
  </si>
  <si>
    <t>HIOWNA-JR.POW [CHOCL</t>
  </si>
  <si>
    <t>200 GM</t>
  </si>
  <si>
    <t>21069099</t>
  </si>
  <si>
    <t>HIOWNA-JR.POW [STRWB</t>
  </si>
  <si>
    <t>IMMUSANTE TAB</t>
  </si>
  <si>
    <t>20 CAP</t>
  </si>
  <si>
    <t>KARELA CAP</t>
  </si>
  <si>
    <t>60 CAP</t>
  </si>
  <si>
    <t>LASUNA GARLIC</t>
  </si>
  <si>
    <t>LIV 52 DROPS</t>
  </si>
  <si>
    <t>60*ML</t>
  </si>
  <si>
    <t>LIV 52 DS SYP 200ML</t>
  </si>
  <si>
    <t>LIV 52 DS SYRUP</t>
  </si>
  <si>
    <t>LIV 52 DS TAB</t>
  </si>
  <si>
    <t>LUKOL SYRUP</t>
  </si>
  <si>
    <t>LUKOL TAB</t>
  </si>
  <si>
    <t>MENOSAN TAB</t>
  </si>
  <si>
    <t>MENTAT DS SYRUP</t>
  </si>
  <si>
    <t>MENTAT SYRUP</t>
  </si>
  <si>
    <t>MENTAT TAB</t>
  </si>
  <si>
    <t>PLATENZA SYR</t>
  </si>
  <si>
    <t>PLATENZA TAB</t>
  </si>
  <si>
    <t>20 TAB</t>
  </si>
  <si>
    <t>PUREHANDS LIQ [100ML]</t>
  </si>
  <si>
    <t>100 ml</t>
  </si>
  <si>
    <t>34013090</t>
  </si>
  <si>
    <t>SEPTILIN DROPS</t>
  </si>
  <si>
    <t>60 ML</t>
  </si>
  <si>
    <t>SEPTILIN SYRUP</t>
  </si>
  <si>
    <t>SEPTILIN TAB</t>
  </si>
  <si>
    <t>SHATAVARI TAB</t>
  </si>
  <si>
    <t>SPEMAN TAB</t>
  </si>
  <si>
    <t>STYPLON TAB</t>
  </si>
  <si>
    <t>V-GEL gel</t>
  </si>
  <si>
    <t xml:space="preserve"> 30 GM</t>
  </si>
  <si>
    <t/>
  </si>
  <si>
    <t>MR.Balance:        0.00</t>
  </si>
  <si>
    <t>OPENING :  208252.17</t>
  </si>
  <si>
    <t>PURCHASE :   18980.00</t>
  </si>
  <si>
    <t>SALES :   41397.37</t>
  </si>
  <si>
    <t>UC SALE :    4898.20</t>
  </si>
  <si>
    <t>CL.STK.:  188255.79</t>
  </si>
  <si>
    <t>Opening On SaleRate:  249487.1</t>
  </si>
  <si>
    <t>Purchase On SaleRate:   21410.</t>
  </si>
  <si>
    <t>Closing On SaleRate:  223883.7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</si>
  <si>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</si>
  <si>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</si>
  <si>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</si>
  <si>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</si>
  <si>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</si>
  <si>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</si>
  <si>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</si>
  <si>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</si>
  <si>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</si>
  <si>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</si>
  <si>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Grand Total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</si>
</sst>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8A0000"/>
      <name val="Calibri"/>
    </font>
    <font>
      <b/>
      <sz val="11.0"/>
      <color rgb="FFFF0000"/>
      <name val="Calibri"/>
    </font>
    <font>
      <b/>
      <i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0"/>
    <col customWidth="1" min="2" max="2" width="7.43"/>
    <col customWidth="1" min="3" max="3" width="9.71"/>
    <col customWidth="1" min="4" max="4" width="8.43"/>
    <col customWidth="1" min="5" max="5" width="9.29"/>
    <col customWidth="1" min="6" max="6" width="8.0"/>
    <col customWidth="1" min="7" max="7" width="8.86"/>
    <col customWidth="1" min="8" max="8" width="7.43"/>
    <col customWidth="1" min="9" max="9" width="7.29"/>
    <col customWidth="1" min="10" max="10" width="8.14"/>
    <col customWidth="1" min="11" max="11" width="8.57"/>
    <col customWidth="1" min="12" max="12" width="7.14"/>
    <col customWidth="1" min="13" max="13" width="10.14"/>
    <col customWidth="1" min="14" max="14" width="10.0"/>
    <col customWidth="1" min="15" max="15" width="8.71"/>
    <col customWidth="1" min="16" max="16" width="9.14"/>
    <col customWidth="1" min="17" max="17" width="10.0"/>
    <col customWidth="1" min="18" max="18" width="10.14"/>
    <col customWidth="1" min="19" max="19" width="8.29"/>
    <col customWidth="1" min="20" max="20" width="10.29"/>
    <col customWidth="1" min="21" max="21" width="12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 t="s">
        <v>4</v>
      </c>
    </row>
    <row r="6">
      <c r="A6" s="2" t="s">
        <v>5</v>
      </c>
    </row>
    <row r="7">
      <c r="A7" s="3" t="str">
        <f>UPPER("name")</f>
        <v>NAME</v>
      </c>
      <c r="B7" s="3" t="str">
        <f>UPPER("pack")</f>
        <v>PACK</v>
      </c>
      <c r="C7" s="3" t="str">
        <f>UPPER("openstk")</f>
        <v>OPENSTK</v>
      </c>
      <c r="D7" s="3" t="str">
        <f>UPPER("purstk")</f>
        <v>PURSTK</v>
      </c>
      <c r="E7" s="3" t="str">
        <f>UPPER("purscm")</f>
        <v>PURSCM</v>
      </c>
      <c r="F7" s="3" t="str">
        <f>UPPER("crestk")</f>
        <v>CRESTK</v>
      </c>
      <c r="G7" s="3" t="str">
        <f>UPPER("salestk")</f>
        <v>SALESTK</v>
      </c>
      <c r="H7" s="3" t="str">
        <f>UPPER("slscm")</f>
        <v>SLSCM</v>
      </c>
      <c r="I7" s="3" t="str">
        <f>UPPER("ucstk")</f>
        <v>UCSTK</v>
      </c>
      <c r="J7" s="3" t="str">
        <f>UPPER("ucscm")</f>
        <v>UCSCM</v>
      </c>
      <c r="K7" s="3" t="str">
        <f>UPPER("clmstk")</f>
        <v>CLMSTK</v>
      </c>
      <c r="L7" s="3" t="str">
        <f>UPPER("dbstk")</f>
        <v>DBSTK</v>
      </c>
      <c r="M7" s="3" t="str">
        <f>UPPER("closestk")</f>
        <v>CLOSESTK</v>
      </c>
      <c r="N7" s="3" t="str">
        <f>UPPER("openval")</f>
        <v>OPENVAL</v>
      </c>
      <c r="O7" s="3" t="str">
        <f>UPPER("purval")</f>
        <v>PURVAL</v>
      </c>
      <c r="P7" s="3" t="str">
        <f>UPPER("saleval")</f>
        <v>SALEVAL</v>
      </c>
      <c r="Q7" s="3" t="str">
        <f>UPPER("clsval")</f>
        <v>CLSVAL</v>
      </c>
      <c r="R7" s="3" t="str">
        <f>UPPER("hsncode")</f>
        <v>HSNCODE</v>
      </c>
      <c r="S7" s="3" t="str">
        <f>UPPER("taxper")</f>
        <v>TAXPER</v>
      </c>
      <c r="T7" s="3" t="str">
        <f>UPPER("slgstval")</f>
        <v>SLGSTVAL</v>
      </c>
      <c r="U7" s="3" t="str">
        <f>UPPER("scmgstval")</f>
        <v>SCMGSTVAL</v>
      </c>
    </row>
    <row r="8">
      <c r="A8" t="s">
        <v>6</v>
      </c>
      <c r="B8" t="s">
        <v>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 t="s">
        <v>8</v>
      </c>
      <c r="S8">
        <v>5.0</v>
      </c>
      <c r="T8">
        <v>0.0</v>
      </c>
      <c r="U8">
        <v>0.0</v>
      </c>
    </row>
    <row r="9">
      <c r="A9" t="s">
        <v>9</v>
      </c>
      <c r="B9" t="s">
        <v>10</v>
      </c>
      <c r="C9">
        <v>21.0</v>
      </c>
      <c r="D9">
        <v>0.0</v>
      </c>
      <c r="E9">
        <v>0.0</v>
      </c>
      <c r="F9">
        <v>0.0</v>
      </c>
      <c r="G9">
        <v>18.0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3.0</v>
      </c>
      <c r="N9">
        <v>1389.99</v>
      </c>
      <c r="O9">
        <v>0.0</v>
      </c>
      <c r="P9">
        <v>1343.88</v>
      </c>
      <c r="Q9">
        <v>198.57</v>
      </c>
      <c r="R9" t="s">
        <v>8</v>
      </c>
      <c r="S9">
        <v>5.0</v>
      </c>
      <c r="T9">
        <v>1411.07</v>
      </c>
      <c r="U9">
        <v>0.0</v>
      </c>
    </row>
    <row r="10">
      <c r="A10" t="s">
        <v>11</v>
      </c>
      <c r="B10" t="s">
        <v>12</v>
      </c>
      <c r="C10">
        <v>41.0</v>
      </c>
      <c r="D10">
        <v>0.0</v>
      </c>
      <c r="E10">
        <v>0.0</v>
      </c>
      <c r="F10">
        <v>0.0</v>
      </c>
      <c r="G10">
        <v>24.0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17.0</v>
      </c>
      <c r="N10">
        <v>2072.55</v>
      </c>
      <c r="O10">
        <v>0.0</v>
      </c>
      <c r="P10">
        <v>1627.2</v>
      </c>
      <c r="Q10">
        <v>859.35</v>
      </c>
      <c r="R10" t="s">
        <v>8</v>
      </c>
      <c r="S10">
        <v>5.0</v>
      </c>
      <c r="T10">
        <v>1708.56</v>
      </c>
      <c r="U10">
        <v>0.0</v>
      </c>
    </row>
    <row r="11">
      <c r="A11" t="s">
        <v>13</v>
      </c>
      <c r="B11" t="s">
        <v>14</v>
      </c>
      <c r="C11">
        <v>39.0</v>
      </c>
      <c r="D11">
        <v>0.0</v>
      </c>
      <c r="E11">
        <v>0.0</v>
      </c>
      <c r="F11">
        <v>0.0</v>
      </c>
      <c r="G11">
        <v>7.0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32.0</v>
      </c>
      <c r="N11">
        <v>2212.86</v>
      </c>
      <c r="O11">
        <v>0.0</v>
      </c>
      <c r="P11">
        <v>448.0</v>
      </c>
      <c r="Q11">
        <v>1815.68</v>
      </c>
      <c r="R11" t="s">
        <v>8</v>
      </c>
      <c r="S11">
        <v>5.0</v>
      </c>
      <c r="T11">
        <v>470.4</v>
      </c>
      <c r="U11">
        <v>0.0</v>
      </c>
    </row>
    <row r="12">
      <c r="A12" t="s">
        <v>15</v>
      </c>
      <c r="B12" t="s">
        <v>16</v>
      </c>
      <c r="C12">
        <v>57.0</v>
      </c>
      <c r="D12">
        <v>0.0</v>
      </c>
      <c r="E12">
        <v>0.0</v>
      </c>
      <c r="F12">
        <v>0.0</v>
      </c>
      <c r="G12">
        <v>20.0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37.0</v>
      </c>
      <c r="N12">
        <v>2887.05</v>
      </c>
      <c r="O12">
        <v>0.0</v>
      </c>
      <c r="P12">
        <v>1142.8</v>
      </c>
      <c r="Q12">
        <v>1874.05</v>
      </c>
      <c r="R12" t="s">
        <v>8</v>
      </c>
      <c r="S12">
        <v>5.0</v>
      </c>
      <c r="T12">
        <v>1199.94</v>
      </c>
      <c r="U12">
        <v>0.0</v>
      </c>
    </row>
    <row r="13">
      <c r="A13" t="s">
        <v>17</v>
      </c>
      <c r="B13" t="s">
        <v>18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 t="s">
        <v>8</v>
      </c>
      <c r="S13">
        <v>5.0</v>
      </c>
      <c r="T13">
        <v>0.0</v>
      </c>
      <c r="U13">
        <v>0.0</v>
      </c>
    </row>
    <row r="14">
      <c r="A14" t="s">
        <v>19</v>
      </c>
      <c r="B14" t="s">
        <v>20</v>
      </c>
      <c r="C14">
        <v>11.0</v>
      </c>
      <c r="D14">
        <v>0.0</v>
      </c>
      <c r="E14">
        <v>0.0</v>
      </c>
      <c r="F14">
        <v>0.0</v>
      </c>
      <c r="G14">
        <v>1.0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10.0</v>
      </c>
      <c r="N14">
        <v>1597.31</v>
      </c>
      <c r="O14">
        <v>0.0</v>
      </c>
      <c r="P14">
        <v>163.8</v>
      </c>
      <c r="Q14">
        <v>1452.1</v>
      </c>
      <c r="R14" t="s">
        <v>8</v>
      </c>
      <c r="S14">
        <v>5.0</v>
      </c>
      <c r="T14">
        <v>171.99</v>
      </c>
      <c r="U14">
        <v>0.0</v>
      </c>
    </row>
    <row r="15">
      <c r="A15" t="s">
        <v>21</v>
      </c>
      <c r="B15" t="s">
        <v>22</v>
      </c>
      <c r="C15">
        <v>78.0</v>
      </c>
      <c r="D15">
        <v>0.0</v>
      </c>
      <c r="E15">
        <v>0.0</v>
      </c>
      <c r="F15">
        <v>0.0</v>
      </c>
      <c r="G15">
        <v>3.0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75.0</v>
      </c>
      <c r="N15">
        <v>12675.78</v>
      </c>
      <c r="O15">
        <v>0.0</v>
      </c>
      <c r="P15">
        <v>566.88</v>
      </c>
      <c r="Q15">
        <v>12188.25</v>
      </c>
      <c r="R15" t="s">
        <v>8</v>
      </c>
      <c r="S15">
        <v>5.0</v>
      </c>
      <c r="T15">
        <v>595.22</v>
      </c>
      <c r="U15">
        <v>0.0</v>
      </c>
    </row>
    <row r="16">
      <c r="A16" t="s">
        <v>23</v>
      </c>
      <c r="B16" t="s">
        <v>24</v>
      </c>
      <c r="C16">
        <v>22.0</v>
      </c>
      <c r="D16">
        <v>0.0</v>
      </c>
      <c r="E16">
        <v>0.0</v>
      </c>
      <c r="F16">
        <v>0.0</v>
      </c>
      <c r="G16">
        <v>4.0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18.0</v>
      </c>
      <c r="N16">
        <v>2362.58</v>
      </c>
      <c r="O16">
        <v>0.0</v>
      </c>
      <c r="P16">
        <v>484.56</v>
      </c>
      <c r="Q16">
        <v>1933.02</v>
      </c>
      <c r="R16" t="s">
        <v>8</v>
      </c>
      <c r="S16">
        <v>5.0</v>
      </c>
      <c r="T16">
        <v>508.79</v>
      </c>
      <c r="U16">
        <v>0.0</v>
      </c>
    </row>
    <row r="17">
      <c r="A17" t="s">
        <v>25</v>
      </c>
      <c r="B17" t="s">
        <v>18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 t="s">
        <v>8</v>
      </c>
      <c r="S17">
        <v>5.0</v>
      </c>
      <c r="T17">
        <v>0.0</v>
      </c>
      <c r="U17">
        <v>0.0</v>
      </c>
    </row>
    <row r="18">
      <c r="A18" t="s">
        <v>26</v>
      </c>
      <c r="B18" t="s">
        <v>20</v>
      </c>
      <c r="C18">
        <v>16.0</v>
      </c>
      <c r="D18">
        <v>0.0</v>
      </c>
      <c r="E18">
        <v>0.0</v>
      </c>
      <c r="F18">
        <v>0.0</v>
      </c>
      <c r="G18">
        <v>8.0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8.0</v>
      </c>
      <c r="N18">
        <v>2808.16</v>
      </c>
      <c r="O18">
        <v>0.0</v>
      </c>
      <c r="P18">
        <v>1651.84</v>
      </c>
      <c r="Q18">
        <v>1404.08</v>
      </c>
      <c r="R18" t="s">
        <v>8</v>
      </c>
      <c r="S18">
        <v>5.0</v>
      </c>
      <c r="T18">
        <v>1734.43</v>
      </c>
      <c r="U18">
        <v>0.0</v>
      </c>
    </row>
    <row r="19">
      <c r="A19" t="s">
        <v>27</v>
      </c>
      <c r="B19" t="s">
        <v>22</v>
      </c>
      <c r="C19">
        <v>173.0</v>
      </c>
      <c r="D19">
        <v>0.0</v>
      </c>
      <c r="E19">
        <v>0.0</v>
      </c>
      <c r="F19">
        <v>0.0</v>
      </c>
      <c r="G19">
        <v>38.0</v>
      </c>
      <c r="H19">
        <v>0.0</v>
      </c>
      <c r="I19">
        <v>20.0</v>
      </c>
      <c r="J19">
        <v>0.0</v>
      </c>
      <c r="K19">
        <v>0.0</v>
      </c>
      <c r="L19">
        <v>0.0</v>
      </c>
      <c r="M19">
        <v>115.0</v>
      </c>
      <c r="N19">
        <v>23758.09</v>
      </c>
      <c r="O19">
        <v>0.0</v>
      </c>
      <c r="P19">
        <v>7035.32</v>
      </c>
      <c r="Q19">
        <v>15792.95</v>
      </c>
      <c r="R19" t="s">
        <v>8</v>
      </c>
      <c r="S19">
        <v>5.0</v>
      </c>
      <c r="T19">
        <v>7387.09</v>
      </c>
      <c r="U19">
        <v>0.0</v>
      </c>
    </row>
    <row r="20">
      <c r="A20" t="s">
        <v>28</v>
      </c>
      <c r="B20" t="s">
        <v>7</v>
      </c>
      <c r="C20">
        <v>57.0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57.0</v>
      </c>
      <c r="N20">
        <v>7310.25</v>
      </c>
      <c r="O20">
        <v>0.0</v>
      </c>
      <c r="P20">
        <v>0.0</v>
      </c>
      <c r="Q20">
        <v>7310.25</v>
      </c>
      <c r="R20" t="s">
        <v>8</v>
      </c>
      <c r="S20">
        <v>5.0</v>
      </c>
      <c r="T20">
        <v>0.0</v>
      </c>
      <c r="U20">
        <v>0.0</v>
      </c>
    </row>
    <row r="21" ht="15.75" customHeight="1">
      <c r="A21" t="s">
        <v>29</v>
      </c>
      <c r="B21" t="s">
        <v>20</v>
      </c>
      <c r="C21">
        <v>23.0</v>
      </c>
      <c r="D21">
        <v>0.0</v>
      </c>
      <c r="E21">
        <v>0.0</v>
      </c>
      <c r="F21">
        <v>0.0</v>
      </c>
      <c r="G21">
        <v>1.0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22.0</v>
      </c>
      <c r="N21">
        <v>3992.34</v>
      </c>
      <c r="O21">
        <v>0.0</v>
      </c>
      <c r="P21">
        <v>195.8</v>
      </c>
      <c r="Q21">
        <v>3818.76</v>
      </c>
      <c r="R21" t="s">
        <v>8</v>
      </c>
      <c r="S21">
        <v>5.0</v>
      </c>
      <c r="T21">
        <v>205.59</v>
      </c>
      <c r="U21">
        <v>0.0</v>
      </c>
    </row>
    <row r="22" ht="15.75" customHeight="1">
      <c r="A22" t="s">
        <v>30</v>
      </c>
      <c r="B22" t="s">
        <v>31</v>
      </c>
      <c r="C22">
        <v>34.0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34.0</v>
      </c>
      <c r="N22">
        <v>2204.56</v>
      </c>
      <c r="O22">
        <v>0.0</v>
      </c>
      <c r="P22">
        <v>0.0</v>
      </c>
      <c r="Q22">
        <v>2204.56</v>
      </c>
      <c r="R22" t="s">
        <v>8</v>
      </c>
      <c r="S22">
        <v>5.0</v>
      </c>
      <c r="T22">
        <v>0.0</v>
      </c>
      <c r="U22">
        <v>0.0</v>
      </c>
    </row>
    <row r="23" ht="15.75" customHeight="1">
      <c r="A23" t="s">
        <v>32</v>
      </c>
      <c r="B23" t="s">
        <v>20</v>
      </c>
      <c r="C23">
        <v>63.0</v>
      </c>
      <c r="D23">
        <v>0.0</v>
      </c>
      <c r="E23">
        <v>0.0</v>
      </c>
      <c r="F23">
        <v>0.0</v>
      </c>
      <c r="G23">
        <v>4.0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59.0</v>
      </c>
      <c r="N23">
        <v>9148.23</v>
      </c>
      <c r="O23">
        <v>0.0</v>
      </c>
      <c r="P23">
        <v>655.2</v>
      </c>
      <c r="Q23">
        <v>8567.39</v>
      </c>
      <c r="R23" t="s">
        <v>8</v>
      </c>
      <c r="S23">
        <v>5.0</v>
      </c>
      <c r="T23">
        <v>687.96</v>
      </c>
      <c r="U23">
        <v>0.0</v>
      </c>
    </row>
    <row r="24" ht="15.75" customHeight="1">
      <c r="A24" t="s">
        <v>33</v>
      </c>
      <c r="B24" t="s">
        <v>34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 t="s">
        <v>8</v>
      </c>
      <c r="S24">
        <v>5.0</v>
      </c>
      <c r="T24">
        <v>0.0</v>
      </c>
      <c r="U24">
        <v>0.0</v>
      </c>
    </row>
    <row r="25" ht="15.75" customHeight="1">
      <c r="A25" t="s">
        <v>35</v>
      </c>
      <c r="B25" t="s">
        <v>36</v>
      </c>
      <c r="C25">
        <v>5.0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5.0</v>
      </c>
      <c r="N25">
        <v>1330.65</v>
      </c>
      <c r="O25">
        <v>0.0</v>
      </c>
      <c r="P25">
        <v>0.0</v>
      </c>
      <c r="Q25">
        <v>1330.65</v>
      </c>
      <c r="R25" t="s">
        <v>8</v>
      </c>
      <c r="S25">
        <v>5.0</v>
      </c>
      <c r="T25">
        <v>0.0</v>
      </c>
      <c r="U25">
        <v>0.0</v>
      </c>
    </row>
    <row r="26" ht="15.75" customHeight="1">
      <c r="A26" t="s">
        <v>37</v>
      </c>
      <c r="B26" t="s">
        <v>20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 t="s">
        <v>8</v>
      </c>
      <c r="S26">
        <v>5.0</v>
      </c>
      <c r="T26">
        <v>0.0</v>
      </c>
      <c r="U26">
        <v>0.0</v>
      </c>
    </row>
    <row r="27" ht="15.75" customHeight="1">
      <c r="A27" t="s">
        <v>38</v>
      </c>
      <c r="B27" t="s">
        <v>39</v>
      </c>
      <c r="C27">
        <v>10.0</v>
      </c>
      <c r="D27">
        <v>0.0</v>
      </c>
      <c r="E27">
        <v>0.0</v>
      </c>
      <c r="F27">
        <v>0.0</v>
      </c>
      <c r="G27">
        <v>2.0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8.0</v>
      </c>
      <c r="N27">
        <v>1124.6</v>
      </c>
      <c r="O27">
        <v>0.0</v>
      </c>
      <c r="P27">
        <v>249.92</v>
      </c>
      <c r="Q27">
        <v>899.68</v>
      </c>
      <c r="R27" t="s">
        <v>8</v>
      </c>
      <c r="S27">
        <v>5.0</v>
      </c>
      <c r="T27">
        <v>262.42</v>
      </c>
      <c r="U27">
        <v>0.0</v>
      </c>
    </row>
    <row r="28" ht="15.75" customHeight="1">
      <c r="A28" t="s">
        <v>40</v>
      </c>
      <c r="B28" t="s">
        <v>41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 t="s">
        <v>8</v>
      </c>
      <c r="S28">
        <v>5.0</v>
      </c>
      <c r="T28">
        <v>0.0</v>
      </c>
      <c r="U28">
        <v>0.0</v>
      </c>
    </row>
    <row r="29" ht="15.75" customHeight="1">
      <c r="A29" t="s">
        <v>42</v>
      </c>
      <c r="B29" t="s">
        <v>24</v>
      </c>
      <c r="C29">
        <v>80.0</v>
      </c>
      <c r="D29">
        <v>0.0</v>
      </c>
      <c r="E29">
        <v>0.0</v>
      </c>
      <c r="F29">
        <v>0.0</v>
      </c>
      <c r="G29">
        <v>2.0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78.0</v>
      </c>
      <c r="N29">
        <v>13237.6</v>
      </c>
      <c r="O29">
        <v>0.0</v>
      </c>
      <c r="P29">
        <v>373.34</v>
      </c>
      <c r="Q29">
        <v>12906.66</v>
      </c>
      <c r="R29" t="s">
        <v>8</v>
      </c>
      <c r="S29">
        <v>5.0</v>
      </c>
      <c r="T29">
        <v>392.01</v>
      </c>
      <c r="U29">
        <v>0.0</v>
      </c>
    </row>
    <row r="30" ht="15.75" customHeight="1">
      <c r="A30" t="s">
        <v>43</v>
      </c>
      <c r="B30" t="s">
        <v>14</v>
      </c>
      <c r="C30">
        <v>40.0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40.0</v>
      </c>
      <c r="N30">
        <v>2782.8</v>
      </c>
      <c r="O30">
        <v>0.0</v>
      </c>
      <c r="P30">
        <v>0.0</v>
      </c>
      <c r="Q30">
        <v>2782.8</v>
      </c>
      <c r="R30" t="s">
        <v>8</v>
      </c>
      <c r="S30">
        <v>5.0</v>
      </c>
      <c r="T30">
        <v>0.0</v>
      </c>
      <c r="U30">
        <v>0.0</v>
      </c>
    </row>
    <row r="31" ht="15.75" customHeight="1">
      <c r="A31" t="s">
        <v>44</v>
      </c>
      <c r="B31" t="s">
        <v>45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 t="s">
        <v>46</v>
      </c>
      <c r="S31">
        <v>28.0</v>
      </c>
      <c r="T31">
        <v>0.0</v>
      </c>
      <c r="U31">
        <v>0.0</v>
      </c>
    </row>
    <row r="32" ht="15.75" customHeight="1">
      <c r="A32" t="s">
        <v>47</v>
      </c>
      <c r="B32" t="s">
        <v>48</v>
      </c>
      <c r="C32">
        <v>45.0</v>
      </c>
      <c r="D32">
        <v>0.0</v>
      </c>
      <c r="E32">
        <v>0.0</v>
      </c>
      <c r="F32">
        <v>0.0</v>
      </c>
      <c r="G32">
        <v>1.0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44.0</v>
      </c>
      <c r="N32">
        <v>4522.5</v>
      </c>
      <c r="O32">
        <v>0.0</v>
      </c>
      <c r="P32">
        <v>125.63</v>
      </c>
      <c r="Q32">
        <v>4422.0</v>
      </c>
      <c r="R32" t="s">
        <v>49</v>
      </c>
      <c r="S32">
        <v>5.0</v>
      </c>
      <c r="T32">
        <v>131.91</v>
      </c>
      <c r="U32">
        <v>0.0</v>
      </c>
    </row>
    <row r="33" ht="15.75" customHeight="1">
      <c r="A33" t="s">
        <v>50</v>
      </c>
      <c r="B33" t="s">
        <v>51</v>
      </c>
      <c r="C33">
        <v>39.0</v>
      </c>
      <c r="D33">
        <v>0.0</v>
      </c>
      <c r="E33">
        <v>0.0</v>
      </c>
      <c r="F33">
        <v>0.0</v>
      </c>
      <c r="G33">
        <v>2.0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37.0</v>
      </c>
      <c r="N33">
        <v>2596.62</v>
      </c>
      <c r="O33">
        <v>0.0</v>
      </c>
      <c r="P33">
        <v>161.52</v>
      </c>
      <c r="Q33">
        <v>2463.46</v>
      </c>
      <c r="R33" t="s">
        <v>49</v>
      </c>
      <c r="S33">
        <v>5.0</v>
      </c>
      <c r="T33">
        <v>169.6</v>
      </c>
      <c r="U33">
        <v>0.0</v>
      </c>
    </row>
    <row r="34" ht="15.75" customHeight="1">
      <c r="A34" t="s">
        <v>52</v>
      </c>
      <c r="B34" t="s">
        <v>45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 t="s">
        <v>46</v>
      </c>
      <c r="S34">
        <v>28.0</v>
      </c>
      <c r="T34">
        <v>0.0</v>
      </c>
      <c r="U34">
        <v>0.0</v>
      </c>
    </row>
    <row r="35" ht="15.75" customHeight="1">
      <c r="A35" t="s">
        <v>53</v>
      </c>
      <c r="B35" t="s">
        <v>48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 t="s">
        <v>8</v>
      </c>
      <c r="S35">
        <v>5.0</v>
      </c>
      <c r="T35">
        <v>0.0</v>
      </c>
      <c r="U35">
        <v>0.0</v>
      </c>
    </row>
    <row r="36" ht="15.75" customHeight="1">
      <c r="A36" t="s">
        <v>54</v>
      </c>
      <c r="B36" t="s">
        <v>55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 t="s">
        <v>56</v>
      </c>
      <c r="S36">
        <v>28.0</v>
      </c>
      <c r="T36">
        <v>0.0</v>
      </c>
      <c r="U36">
        <v>0.0</v>
      </c>
    </row>
    <row r="37" ht="15.75" customHeight="1">
      <c r="A37" t="s">
        <v>57</v>
      </c>
      <c r="B37" t="s">
        <v>55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 t="s">
        <v>56</v>
      </c>
      <c r="S37">
        <v>28.0</v>
      </c>
      <c r="T37">
        <v>0.0</v>
      </c>
      <c r="U37">
        <v>0.0</v>
      </c>
    </row>
    <row r="38" ht="15.75" customHeight="1">
      <c r="A38" t="s">
        <v>58</v>
      </c>
      <c r="B38" t="s">
        <v>59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 t="s">
        <v>8</v>
      </c>
      <c r="S38">
        <v>5.0</v>
      </c>
      <c r="T38">
        <v>0.0</v>
      </c>
      <c r="U38">
        <v>0.0</v>
      </c>
    </row>
    <row r="39" ht="15.75" customHeight="1">
      <c r="A39" t="s">
        <v>60</v>
      </c>
      <c r="B39" t="s">
        <v>61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 t="s">
        <v>8</v>
      </c>
      <c r="S39">
        <v>5.0</v>
      </c>
      <c r="T39">
        <v>0.0</v>
      </c>
      <c r="U39">
        <v>0.0</v>
      </c>
    </row>
    <row r="40" ht="15.75" customHeight="1">
      <c r="A40" t="s">
        <v>62</v>
      </c>
      <c r="B40" t="s">
        <v>61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 t="s">
        <v>8</v>
      </c>
      <c r="S40">
        <v>5.0</v>
      </c>
      <c r="T40">
        <v>0.0</v>
      </c>
      <c r="U40">
        <v>0.0</v>
      </c>
    </row>
    <row r="41" ht="15.75" customHeight="1">
      <c r="A41" t="s">
        <v>63</v>
      </c>
      <c r="B41" t="s">
        <v>64</v>
      </c>
      <c r="C41">
        <v>108.0</v>
      </c>
      <c r="D41">
        <v>0.0</v>
      </c>
      <c r="E41">
        <v>0.0</v>
      </c>
      <c r="F41">
        <v>0.0</v>
      </c>
      <c r="G41">
        <v>64.0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44.0</v>
      </c>
      <c r="N41">
        <v>10577.52</v>
      </c>
      <c r="O41">
        <v>0.0</v>
      </c>
      <c r="P41">
        <v>7070.72</v>
      </c>
      <c r="Q41">
        <v>4309.36</v>
      </c>
      <c r="R41" t="s">
        <v>8</v>
      </c>
      <c r="S41">
        <v>5.0</v>
      </c>
      <c r="T41">
        <v>7424.26</v>
      </c>
      <c r="U41">
        <v>0.0</v>
      </c>
    </row>
    <row r="42" ht="15.75" customHeight="1">
      <c r="A42" t="s">
        <v>63</v>
      </c>
      <c r="B42" t="s">
        <v>12</v>
      </c>
      <c r="C42">
        <v>37.0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37.0</v>
      </c>
      <c r="N42">
        <v>5023.12</v>
      </c>
      <c r="O42">
        <v>0.0</v>
      </c>
      <c r="P42">
        <v>0.0</v>
      </c>
      <c r="Q42">
        <v>5023.12</v>
      </c>
      <c r="R42" t="s">
        <v>8</v>
      </c>
      <c r="S42">
        <v>5.0</v>
      </c>
      <c r="T42">
        <v>0.0</v>
      </c>
      <c r="U42">
        <v>0.0</v>
      </c>
    </row>
    <row r="43" ht="15.75" customHeight="1">
      <c r="A43" t="s">
        <v>65</v>
      </c>
      <c r="B43" t="s">
        <v>20</v>
      </c>
      <c r="C43">
        <v>57.0</v>
      </c>
      <c r="D43">
        <v>0.0</v>
      </c>
      <c r="E43">
        <v>0.0</v>
      </c>
      <c r="F43">
        <v>0.0</v>
      </c>
      <c r="G43">
        <v>1.0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56.0</v>
      </c>
      <c r="N43">
        <v>11589.24</v>
      </c>
      <c r="O43">
        <v>0.0</v>
      </c>
      <c r="P43">
        <v>267.42</v>
      </c>
      <c r="Q43">
        <v>11385.92</v>
      </c>
      <c r="R43" t="s">
        <v>8</v>
      </c>
      <c r="S43">
        <v>5.0</v>
      </c>
      <c r="T43">
        <v>280.79</v>
      </c>
      <c r="U43">
        <v>0.0</v>
      </c>
    </row>
    <row r="44" ht="15.75" customHeight="1">
      <c r="A44" t="s">
        <v>66</v>
      </c>
      <c r="B44" t="s">
        <v>18</v>
      </c>
      <c r="C44">
        <v>4.0</v>
      </c>
      <c r="D44">
        <v>0.0</v>
      </c>
      <c r="E44">
        <v>0.0</v>
      </c>
      <c r="F44">
        <v>3.0</v>
      </c>
      <c r="G44">
        <v>7.0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582.84</v>
      </c>
      <c r="O44">
        <v>0.0</v>
      </c>
      <c r="P44">
        <v>1199.94</v>
      </c>
      <c r="Q44">
        <v>0.0</v>
      </c>
      <c r="R44" t="s">
        <v>8</v>
      </c>
      <c r="S44">
        <v>5.0</v>
      </c>
      <c r="T44">
        <v>1259.94</v>
      </c>
      <c r="U44">
        <v>0.0</v>
      </c>
    </row>
    <row r="45" ht="15.75" customHeight="1">
      <c r="A45" t="s">
        <v>67</v>
      </c>
      <c r="B45" t="s">
        <v>22</v>
      </c>
      <c r="C45">
        <v>23.0</v>
      </c>
      <c r="D45">
        <v>100.0</v>
      </c>
      <c r="E45">
        <v>0.0</v>
      </c>
      <c r="F45">
        <v>0.0</v>
      </c>
      <c r="G45">
        <v>25.0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98.0</v>
      </c>
      <c r="N45">
        <v>4365.4</v>
      </c>
      <c r="O45">
        <v>18980.0</v>
      </c>
      <c r="P45">
        <v>5352.5</v>
      </c>
      <c r="Q45">
        <v>18600.4</v>
      </c>
      <c r="R45" t="s">
        <v>8</v>
      </c>
      <c r="S45">
        <v>5.0</v>
      </c>
      <c r="T45">
        <v>5620.13</v>
      </c>
      <c r="U45">
        <v>0.0</v>
      </c>
    </row>
    <row r="46" ht="15.75" customHeight="1">
      <c r="A46" t="s">
        <v>68</v>
      </c>
      <c r="B46" t="s">
        <v>20</v>
      </c>
      <c r="C46">
        <v>59.0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4.0</v>
      </c>
      <c r="M46">
        <v>55.0</v>
      </c>
      <c r="N46">
        <v>9324.95</v>
      </c>
      <c r="O46">
        <v>0.0</v>
      </c>
      <c r="P46">
        <v>0.0</v>
      </c>
      <c r="Q46">
        <v>8692.75</v>
      </c>
      <c r="R46" t="s">
        <v>8</v>
      </c>
      <c r="S46">
        <v>5.0</v>
      </c>
      <c r="T46">
        <v>0.0</v>
      </c>
      <c r="U46">
        <v>0.0</v>
      </c>
    </row>
    <row r="47" ht="15.75" customHeight="1">
      <c r="A47" t="s">
        <v>69</v>
      </c>
      <c r="B47" t="s">
        <v>22</v>
      </c>
      <c r="C47">
        <v>62.0</v>
      </c>
      <c r="D47">
        <v>0.0</v>
      </c>
      <c r="E47">
        <v>0.0</v>
      </c>
      <c r="F47">
        <v>0.0</v>
      </c>
      <c r="G47">
        <v>15.0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47.0</v>
      </c>
      <c r="N47">
        <v>8064.34</v>
      </c>
      <c r="O47">
        <v>0.0</v>
      </c>
      <c r="P47">
        <v>2891.4</v>
      </c>
      <c r="Q47">
        <v>6113.29</v>
      </c>
      <c r="R47" t="s">
        <v>8</v>
      </c>
      <c r="S47">
        <v>5.0</v>
      </c>
      <c r="T47">
        <v>3035.97</v>
      </c>
      <c r="U47">
        <v>0.0</v>
      </c>
    </row>
    <row r="48" ht="15.75" customHeight="1">
      <c r="A48" t="s">
        <v>70</v>
      </c>
      <c r="B48" t="s">
        <v>24</v>
      </c>
      <c r="C48">
        <v>15.0</v>
      </c>
      <c r="D48">
        <v>0.0</v>
      </c>
      <c r="E48">
        <v>0.0</v>
      </c>
      <c r="F48">
        <v>0.0</v>
      </c>
      <c r="G48">
        <v>1.0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14.0</v>
      </c>
      <c r="N48">
        <v>2499.45</v>
      </c>
      <c r="O48">
        <v>0.0</v>
      </c>
      <c r="P48">
        <v>185.14</v>
      </c>
      <c r="Q48">
        <v>2332.82</v>
      </c>
      <c r="R48" t="s">
        <v>8</v>
      </c>
      <c r="S48">
        <v>5.0</v>
      </c>
      <c r="T48">
        <v>194.4</v>
      </c>
      <c r="U48">
        <v>0.0</v>
      </c>
    </row>
    <row r="49" ht="15.75" customHeight="1">
      <c r="A49" t="s">
        <v>71</v>
      </c>
      <c r="B49" t="s">
        <v>18</v>
      </c>
      <c r="C49">
        <v>39.0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39.0</v>
      </c>
      <c r="N49">
        <v>4635.54</v>
      </c>
      <c r="O49">
        <v>0.0</v>
      </c>
      <c r="P49">
        <v>0.0</v>
      </c>
      <c r="Q49">
        <v>4635.54</v>
      </c>
      <c r="R49" t="s">
        <v>8</v>
      </c>
      <c r="S49">
        <v>5.0</v>
      </c>
      <c r="T49">
        <v>0.0</v>
      </c>
      <c r="U49">
        <v>0.0</v>
      </c>
    </row>
    <row r="50" ht="15.75" customHeight="1">
      <c r="A50" t="s">
        <v>72</v>
      </c>
      <c r="B50" t="s">
        <v>20</v>
      </c>
      <c r="C50">
        <v>33.0</v>
      </c>
      <c r="D50">
        <v>0.0</v>
      </c>
      <c r="E50">
        <v>0.0</v>
      </c>
      <c r="F50">
        <v>0.0</v>
      </c>
      <c r="G50">
        <v>10.0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23.0</v>
      </c>
      <c r="N50">
        <v>5509.68</v>
      </c>
      <c r="O50">
        <v>0.0</v>
      </c>
      <c r="P50">
        <v>1958.0</v>
      </c>
      <c r="Q50">
        <v>3840.08</v>
      </c>
      <c r="R50" t="s">
        <v>8</v>
      </c>
      <c r="S50">
        <v>5.0</v>
      </c>
      <c r="T50">
        <v>2055.9</v>
      </c>
      <c r="U50">
        <v>0.0</v>
      </c>
    </row>
    <row r="51" ht="15.75" customHeight="1">
      <c r="A51" t="s">
        <v>73</v>
      </c>
      <c r="B51" t="s">
        <v>22</v>
      </c>
      <c r="C51">
        <v>79.0</v>
      </c>
      <c r="D51">
        <v>0.0</v>
      </c>
      <c r="E51">
        <v>0.0</v>
      </c>
      <c r="F51">
        <v>0.0</v>
      </c>
      <c r="G51">
        <v>3.0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76.0</v>
      </c>
      <c r="N51">
        <v>10992.06</v>
      </c>
      <c r="O51">
        <v>0.0</v>
      </c>
      <c r="P51">
        <v>471.42</v>
      </c>
      <c r="Q51">
        <v>10574.64</v>
      </c>
      <c r="R51" t="s">
        <v>8</v>
      </c>
      <c r="S51">
        <v>5.0</v>
      </c>
      <c r="T51">
        <v>494.99</v>
      </c>
      <c r="U51">
        <v>0.0</v>
      </c>
    </row>
    <row r="52" ht="15.75" customHeight="1">
      <c r="A52" t="s">
        <v>74</v>
      </c>
      <c r="B52" t="s">
        <v>18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 t="s">
        <v>8</v>
      </c>
      <c r="S52">
        <v>5.0</v>
      </c>
      <c r="T52">
        <v>0.0</v>
      </c>
      <c r="U52">
        <v>0.0</v>
      </c>
    </row>
    <row r="53" ht="15.75" customHeight="1">
      <c r="A53" t="s">
        <v>75</v>
      </c>
      <c r="B53" t="s">
        <v>76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 t="s">
        <v>8</v>
      </c>
      <c r="S53">
        <v>5.0</v>
      </c>
      <c r="T53">
        <v>0.0</v>
      </c>
      <c r="U53">
        <v>0.0</v>
      </c>
    </row>
    <row r="54" ht="15.75" customHeight="1">
      <c r="A54" t="s">
        <v>77</v>
      </c>
      <c r="B54" t="s">
        <v>78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 t="s">
        <v>79</v>
      </c>
      <c r="S54">
        <v>18.0</v>
      </c>
      <c r="T54">
        <v>0.0</v>
      </c>
      <c r="U54">
        <v>0.0</v>
      </c>
    </row>
    <row r="55" ht="15.75" customHeight="1">
      <c r="A55" t="s">
        <v>80</v>
      </c>
      <c r="B55" t="s">
        <v>81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 t="s">
        <v>8</v>
      </c>
      <c r="S55">
        <v>5.0</v>
      </c>
      <c r="T55">
        <v>0.0</v>
      </c>
      <c r="U55">
        <v>0.0</v>
      </c>
    </row>
    <row r="56" ht="15.75" customHeight="1">
      <c r="A56" t="s">
        <v>82</v>
      </c>
      <c r="B56" t="s">
        <v>20</v>
      </c>
      <c r="C56">
        <v>87.0</v>
      </c>
      <c r="D56">
        <v>0.0</v>
      </c>
      <c r="E56">
        <v>0.0</v>
      </c>
      <c r="F56">
        <v>0.0</v>
      </c>
      <c r="G56">
        <v>14.0</v>
      </c>
      <c r="H56">
        <v>0.0</v>
      </c>
      <c r="I56">
        <v>10.0</v>
      </c>
      <c r="J56">
        <v>0.0</v>
      </c>
      <c r="K56">
        <v>0.0</v>
      </c>
      <c r="L56">
        <v>0.0</v>
      </c>
      <c r="M56">
        <v>63.0</v>
      </c>
      <c r="N56">
        <v>13220.52</v>
      </c>
      <c r="O56">
        <v>0.0</v>
      </c>
      <c r="P56">
        <v>2400.02</v>
      </c>
      <c r="Q56">
        <v>9573.48</v>
      </c>
      <c r="R56" t="s">
        <v>8</v>
      </c>
      <c r="S56">
        <v>5.0</v>
      </c>
      <c r="T56">
        <v>2520.02</v>
      </c>
      <c r="U56">
        <v>0.0</v>
      </c>
    </row>
    <row r="57" ht="15.75" customHeight="1">
      <c r="A57" t="s">
        <v>83</v>
      </c>
      <c r="B57" t="s">
        <v>22</v>
      </c>
      <c r="C57">
        <v>86.0</v>
      </c>
      <c r="D57">
        <v>0.0</v>
      </c>
      <c r="E57">
        <v>0.0</v>
      </c>
      <c r="F57">
        <v>0.0</v>
      </c>
      <c r="G57">
        <v>14.0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72.0</v>
      </c>
      <c r="N57">
        <v>14358.56</v>
      </c>
      <c r="O57">
        <v>0.0</v>
      </c>
      <c r="P57">
        <v>2741.2</v>
      </c>
      <c r="Q57">
        <v>12021.12</v>
      </c>
      <c r="R57" t="s">
        <v>8</v>
      </c>
      <c r="S57">
        <v>5.0</v>
      </c>
      <c r="T57">
        <v>2878.26</v>
      </c>
      <c r="U57">
        <v>0.0</v>
      </c>
    </row>
    <row r="58" ht="15.75" customHeight="1">
      <c r="A58" t="s">
        <v>84</v>
      </c>
      <c r="B58" t="s">
        <v>61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 t="s">
        <v>8</v>
      </c>
      <c r="S58">
        <v>5.0</v>
      </c>
      <c r="T58">
        <v>0.0</v>
      </c>
      <c r="U58">
        <v>0.0</v>
      </c>
    </row>
    <row r="59" ht="15.75" customHeight="1">
      <c r="A59" t="s">
        <v>85</v>
      </c>
      <c r="B59" t="s">
        <v>22</v>
      </c>
      <c r="C59">
        <v>33.0</v>
      </c>
      <c r="D59">
        <v>0.0</v>
      </c>
      <c r="E59">
        <v>0.0</v>
      </c>
      <c r="F59">
        <v>0.0</v>
      </c>
      <c r="G59">
        <v>2.0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31.0</v>
      </c>
      <c r="N59">
        <v>5527.83</v>
      </c>
      <c r="O59">
        <v>0.0</v>
      </c>
      <c r="P59">
        <v>377.92</v>
      </c>
      <c r="Q59">
        <v>5192.81</v>
      </c>
      <c r="R59" t="s">
        <v>8</v>
      </c>
      <c r="S59">
        <v>5.0</v>
      </c>
      <c r="T59">
        <v>396.82</v>
      </c>
      <c r="U59">
        <v>0.0</v>
      </c>
    </row>
    <row r="60" ht="15.75" customHeight="1">
      <c r="A60" t="s">
        <v>86</v>
      </c>
      <c r="B60" t="s">
        <v>24</v>
      </c>
      <c r="C60">
        <v>8.0</v>
      </c>
      <c r="D60">
        <v>0.0</v>
      </c>
      <c r="E60">
        <v>0.0</v>
      </c>
      <c r="F60">
        <v>0.0</v>
      </c>
      <c r="G60">
        <v>2.0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6.0</v>
      </c>
      <c r="N60">
        <v>921.6</v>
      </c>
      <c r="O60">
        <v>0.0</v>
      </c>
      <c r="P60">
        <v>256.0</v>
      </c>
      <c r="Q60">
        <v>691.2</v>
      </c>
      <c r="R60" t="s">
        <v>8</v>
      </c>
      <c r="S60">
        <v>5.0</v>
      </c>
      <c r="T60">
        <v>268.8</v>
      </c>
      <c r="U60">
        <v>0.0</v>
      </c>
    </row>
    <row r="61" ht="15.75" customHeight="1">
      <c r="A61" t="s">
        <v>87</v>
      </c>
      <c r="B61" t="s">
        <v>88</v>
      </c>
      <c r="C61">
        <v>11.0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11.0</v>
      </c>
      <c r="N61">
        <v>1045.0</v>
      </c>
      <c r="O61">
        <v>0.0</v>
      </c>
      <c r="P61">
        <v>0.0</v>
      </c>
      <c r="Q61">
        <v>1045.0</v>
      </c>
      <c r="R61" t="s">
        <v>8</v>
      </c>
      <c r="S61">
        <v>5.0</v>
      </c>
      <c r="T61">
        <v>0.0</v>
      </c>
      <c r="U61">
        <v>0.0</v>
      </c>
    </row>
    <row r="62" ht="15.75" customHeight="1">
      <c r="A62" t="s">
        <v>89</v>
      </c>
      <c r="B62" t="s">
        <v>89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 t="s">
        <v>89</v>
      </c>
      <c r="S62">
        <v>0.0</v>
      </c>
      <c r="T62">
        <v>0.0</v>
      </c>
      <c r="U62">
        <v>0.0</v>
      </c>
    </row>
    <row r="63" ht="15.75" customHeight="1">
      <c r="A63" t="s">
        <v>89</v>
      </c>
      <c r="B63" t="s">
        <v>89</v>
      </c>
      <c r="C63">
        <v>1595.0</v>
      </c>
      <c r="D63">
        <v>100.0</v>
      </c>
      <c r="E63">
        <v>0.0</v>
      </c>
      <c r="F63">
        <v>3.0</v>
      </c>
      <c r="G63">
        <v>293.0</v>
      </c>
      <c r="H63">
        <v>0.0</v>
      </c>
      <c r="I63">
        <v>4898.0</v>
      </c>
      <c r="J63">
        <v>0.0</v>
      </c>
      <c r="K63">
        <v>0.0</v>
      </c>
      <c r="L63">
        <v>4.0</v>
      </c>
      <c r="M63">
        <v>1371.0</v>
      </c>
      <c r="N63">
        <v>208252.17</v>
      </c>
      <c r="O63">
        <v>18980.0</v>
      </c>
      <c r="P63">
        <v>41397.37</v>
      </c>
      <c r="Q63">
        <v>188255.79</v>
      </c>
      <c r="R63" t="s">
        <v>89</v>
      </c>
      <c r="S63">
        <v>0.0</v>
      </c>
      <c r="T63">
        <v>0.0</v>
      </c>
      <c r="U63">
        <v>0.0</v>
      </c>
    </row>
    <row r="64" ht="15.75" customHeight="1">
      <c r="A64" t="s">
        <v>90</v>
      </c>
      <c r="B64" t="s">
        <v>89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 t="s">
        <v>89</v>
      </c>
      <c r="S64">
        <v>0.0</v>
      </c>
      <c r="T64">
        <v>0.0</v>
      </c>
      <c r="U64">
        <v>0.0</v>
      </c>
    </row>
    <row r="65" ht="15.75" customHeight="1">
      <c r="A65" t="s">
        <v>89</v>
      </c>
      <c r="B65" t="s">
        <v>89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 t="s">
        <v>89</v>
      </c>
      <c r="S65">
        <v>0.0</v>
      </c>
      <c r="T65">
        <v>0.0</v>
      </c>
      <c r="U65">
        <v>0.0</v>
      </c>
    </row>
    <row r="66" ht="15.75" customHeight="1">
      <c r="A66" t="s">
        <v>91</v>
      </c>
      <c r="B66" t="s">
        <v>89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 t="s">
        <v>89</v>
      </c>
      <c r="S66">
        <v>0.0</v>
      </c>
      <c r="T66">
        <v>0.0</v>
      </c>
      <c r="U66">
        <v>0.0</v>
      </c>
    </row>
    <row r="67" ht="15.75" customHeight="1">
      <c r="A67" t="s">
        <v>92</v>
      </c>
      <c r="B67" t="s">
        <v>89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 t="s">
        <v>89</v>
      </c>
      <c r="S67">
        <v>0.0</v>
      </c>
      <c r="T67">
        <v>0.0</v>
      </c>
      <c r="U67">
        <v>0.0</v>
      </c>
    </row>
    <row r="68" ht="15.75" customHeight="1">
      <c r="A68" t="s">
        <v>93</v>
      </c>
      <c r="B68" t="s">
        <v>89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 t="s">
        <v>89</v>
      </c>
      <c r="S68">
        <v>0.0</v>
      </c>
      <c r="T68">
        <v>0.0</v>
      </c>
      <c r="U68">
        <v>0.0</v>
      </c>
    </row>
    <row r="69" ht="15.75" customHeight="1">
      <c r="A69" t="s">
        <v>94</v>
      </c>
      <c r="B69" t="s">
        <v>89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 t="s">
        <v>89</v>
      </c>
      <c r="S69">
        <v>0.0</v>
      </c>
      <c r="T69">
        <v>0.0</v>
      </c>
      <c r="U69">
        <v>0.0</v>
      </c>
    </row>
    <row r="70" ht="15.75" customHeight="1">
      <c r="A70" t="s">
        <v>95</v>
      </c>
      <c r="B70" t="s">
        <v>89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 t="s">
        <v>89</v>
      </c>
      <c r="S70">
        <v>0.0</v>
      </c>
      <c r="T70">
        <v>0.0</v>
      </c>
      <c r="U70">
        <v>0.0</v>
      </c>
    </row>
    <row r="71" ht="15.75" customHeight="1">
      <c r="A71" t="s">
        <v>96</v>
      </c>
      <c r="B71" t="s">
        <v>89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 t="s">
        <v>89</v>
      </c>
      <c r="S71">
        <v>0.0</v>
      </c>
      <c r="T71">
        <v>0.0</v>
      </c>
      <c r="U71">
        <v>0.0</v>
      </c>
    </row>
    <row r="72" ht="15.75" customHeight="1">
      <c r="A72" t="s">
        <v>97</v>
      </c>
      <c r="B72" t="s">
        <v>89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 t="s">
        <v>89</v>
      </c>
      <c r="S72">
        <v>0.0</v>
      </c>
      <c r="T72">
        <v>0.0</v>
      </c>
      <c r="U72">
        <v>0.0</v>
      </c>
    </row>
    <row r="73" ht="15.75" customHeight="1">
      <c r="A73" t="s">
        <v>98</v>
      </c>
      <c r="B73" t="s">
        <v>89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 t="s">
        <v>89</v>
      </c>
      <c r="S73">
        <v>0.0</v>
      </c>
      <c r="T73">
        <v>0.0</v>
      </c>
      <c r="U73">
        <v>0.0</v>
      </c>
    </row>
    <row r="74" ht="15.75" customHeight="1">
      <c r="A74" t="s">
        <v>89</v>
      </c>
      <c r="B74" t="s">
        <v>89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 t="s">
        <v>89</v>
      </c>
      <c r="S74">
        <v>0.0</v>
      </c>
      <c r="T74">
        <v>0.0</v>
      </c>
      <c r="U74">
        <v>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>
      <c r="A91" s="1" t="s">
        <v>99</v>
      </c>
    </row>
    <row r="92" ht="15.75" customHeight="1">
      <c r="A92" s="1"/>
    </row>
    <row r="93" ht="15.75" customHeight="1">
      <c r="A93" s="3" t="s">
        <v>100</v>
      </c>
      <c r="B93" s="3" t="s">
        <v>101</v>
      </c>
      <c r="C93" s="3" t="s">
        <v>102</v>
      </c>
      <c r="D93" s="3" t="s">
        <v>103</v>
      </c>
      <c r="E93" s="3" t="s">
        <v>104</v>
      </c>
      <c r="F93" s="3" t="s">
        <v>105</v>
      </c>
      <c r="G93" s="3" t="s">
        <v>106</v>
      </c>
      <c r="H93" s="3" t="s">
        <v>107</v>
      </c>
      <c r="I93" s="3" t="s">
        <v>108</v>
      </c>
    </row>
    <row r="94" ht="15.75" customHeight="1"/>
    <row r="95" ht="15.75" customHeight="1"/>
    <row r="96" ht="15.75" customHeight="1">
      <c r="G96" t="s">
        <v>109</v>
      </c>
      <c r="I96">
        <v>0.0</v>
      </c>
    </row>
    <row r="97" ht="15.75" customHeight="1"/>
    <row r="98" ht="15.75" customHeight="1"/>
    <row r="99" ht="15.75" customHeight="1"/>
    <row r="100" ht="15.75" customHeight="1"/>
  </sheetData>
  <mergeCells count="8">
    <mergeCell ref="A6:U6"/>
    <mergeCell ref="A91:I91"/>
    <mergeCell ref="A92:I92"/>
    <mergeCell ref="A1:U1"/>
    <mergeCell ref="A2:U2"/>
    <mergeCell ref="A3:U3"/>
    <mergeCell ref="A4:U4"/>
    <mergeCell ref="A5:U5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XLS105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2026-10-01T04:04:14Z</dcterms:created>
  <cp:lastModifiedBy>Sunderlal Enterprise</cp:lastModifiedBy>
  <dcterms:modified xsi:type="dcterms:W3CDTF">2026-10-01T04:04:15Z</dcterms:modified>
</cp:coreProperties>
</file>