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24226"/>
  <bookViews>
    <workbookView xWindow="480" yWindow="150" windowWidth="22995" windowHeight="9525" activeTab="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<sst xmlns="http://schemas.openxmlformats.org/spreadsheetml/2006/main" uniqueCount="78" count="78">
  <si>
    <t>NRV</t>
  </si>
  <si>
    <t>OPENING UNIT</t>
  </si>
  <si>
    <t>PRIMARY UNIT</t>
  </si>
  <si>
    <t>SALE UNIT</t>
  </si>
  <si>
    <t>CLOSING UNIT</t>
  </si>
  <si>
    <t>ARJUNA TABLETS 60'S</t>
  </si>
  <si>
    <t>BONNISAN DROPS 30ml</t>
  </si>
  <si>
    <t>BONNISAN LIQUID 100ml</t>
  </si>
  <si>
    <t>BONNISAN LIQUID 200ml</t>
  </si>
  <si>
    <t>BONNISPAZ DROPS 15ml</t>
  </si>
  <si>
    <t>BRESOL SYRUP 200ml</t>
  </si>
  <si>
    <t>BRESOL TABLETS 60's</t>
  </si>
  <si>
    <t>BRESOL-NS SALINE NASAL</t>
  </si>
  <si>
    <t>CYSTONE FORTE TABLETS 30's</t>
  </si>
  <si>
    <t>CYSTONE SYRUP 200ml</t>
  </si>
  <si>
    <t>CYSTONE TABLETS 60's</t>
  </si>
  <si>
    <t>CYSTONE-SF LIQUID 200ml</t>
  </si>
  <si>
    <t>EVECARE CAPSULES 30</t>
  </si>
  <si>
    <t>EVECARE FORTE 200ML</t>
  </si>
  <si>
    <t>EVECARE FORTE TAB 10S</t>
  </si>
  <si>
    <t>EVECARE SYRUP 200ML</t>
  </si>
  <si>
    <t>EVECARE SYRUP 400ML</t>
  </si>
  <si>
    <t>FLORASANTE CAPSULES 10'S</t>
  </si>
  <si>
    <t>GERIFORTE SYRUP 200ml</t>
  </si>
  <si>
    <t>GERIFORTE TABS (SC) 100's</t>
  </si>
  <si>
    <t>HARIDRA TABS 60'S</t>
  </si>
  <si>
    <t>HIMPLASIA TABLETS 30's</t>
  </si>
  <si>
    <t>HIORA GA GEL 15ML</t>
  </si>
  <si>
    <t>HIORA K MOUTH WASH 150ML</t>
  </si>
  <si>
    <t>HIORA K TOOTH PASTE 100 G</t>
  </si>
  <si>
    <t>HIORA K TOOTH PASTE 50 G</t>
  </si>
  <si>
    <t>HIORA MOUTH WASH REGULAR 150ml</t>
  </si>
  <si>
    <t>HIORA SG GEL 10G</t>
  </si>
  <si>
    <t>HIORA TOOTHPASTE 100G</t>
  </si>
  <si>
    <t>IMMUSANTE TABLET 3X20'S</t>
  </si>
  <si>
    <t>KARELA TABLETS 60'S</t>
  </si>
  <si>
    <t>LASUNA TABLETS 60'S</t>
  </si>
  <si>
    <t>LIV.52 DS TABLETS 60</t>
  </si>
  <si>
    <t>LIV.52 DROPS 100ml</t>
  </si>
  <si>
    <t>LIV.52 DROPS 60ml</t>
  </si>
  <si>
    <t>LIV. 52 DS SYRUP 100ML</t>
  </si>
  <si>
    <t>LIV. 52 DS SYRUP 200ML</t>
  </si>
  <si>
    <t>LUKOL SYRUP 200ML</t>
  </si>
  <si>
    <t>LUKOL TABLETS 60</t>
  </si>
  <si>
    <t>MENOSAN TABLETS 30</t>
  </si>
  <si>
    <t>MENTAT DS SYRUP SF 100ml</t>
  </si>
  <si>
    <t>MENTAT SYRUP 200ml</t>
  </si>
  <si>
    <t>MENTAT TABLETS 60's</t>
  </si>
  <si>
    <t>MESHASHRINGI TABLETS 60'S</t>
  </si>
  <si>
    <t>METHI TABLETS 60'S</t>
  </si>
  <si>
    <t xml:space="preserve">LIV.52 DS SYRUP SF 100ML </t>
  </si>
  <si>
    <t xml:space="preserve">MENTAT GUMMIES 30'S </t>
  </si>
  <si>
    <t>SEPTILIN GUMMIES 30'S</t>
  </si>
  <si>
    <t>PLATENZA SYR 100ML IND</t>
  </si>
  <si>
    <t>PLATENZA TABLETS 20ÆS</t>
  </si>
  <si>
    <t>PUNARNAVA TABLETS 60's</t>
  </si>
  <si>
    <t>QUISTA KIDZ 200G (CHOCOLATE )</t>
  </si>
  <si>
    <t>QUISTA KIDZ 200G (VANILLA)</t>
  </si>
  <si>
    <t>RENALKA SYRUP 100ML</t>
  </si>
  <si>
    <t>RENALKA SYRUP 200ML</t>
  </si>
  <si>
    <t>REOSTO TABLETS 30</t>
  </si>
  <si>
    <t>SEPTILIN SYRUP 200ml</t>
  </si>
  <si>
    <t>SEPTILIN TABLETS 60's</t>
  </si>
  <si>
    <t>SERPINA TABLETS 100</t>
  </si>
  <si>
    <t>SHATAVARI TABLETS 60'S</t>
  </si>
  <si>
    <t>SHUDDHA GUGGULU TABLETS 60'S</t>
  </si>
  <si>
    <t>SPEMAN TABLETS 60</t>
  </si>
  <si>
    <t>STYPLON TABLETS 30</t>
  </si>
  <si>
    <t>V-GEL 30G</t>
  </si>
  <si>
    <t>TOTAL</t>
  </si>
  <si>
    <t>PRODUCTS</t>
  </si>
  <si>
    <t xml:space="preserve">STOCKIST NAME:  </t>
  </si>
  <si>
    <t xml:space="preserve">MONTH: </t>
  </si>
  <si>
    <t xml:space="preserve">Mangal Agency </t>
  </si>
  <si>
    <t xml:space="preserve">STOCKIST NAME:  MANGAL AGENCY </t>
  </si>
  <si>
    <t>Aug-SEP</t>
  </si>
  <si>
    <t>STOCKIST NAME:  HMRS LLP</t>
  </si>
  <si>
    <t>SepNOV-25</t>
  </si>
</sst>
</file>

<file path=xl/styles.xml><?xml version="1.0" encoding="utf-8"?>
<styleSheet xmlns="http://schemas.openxmlformats.org/spreadsheetml/2006/main">
  <numFmts count="4">
    <numFmt numFmtId="0" formatCode="General"/>
    <numFmt numFmtId="17" formatCode="mmm-yy"/>
    <numFmt numFmtId="164" formatCode="_ * #,##0_ ;_ * \-#,##0_ ;_ * &quot;-&quot;??_ ;_ @_ "/>
    <numFmt numFmtId="2" formatCode="0.00"/>
  </numFmts>
  <fonts count="8">
    <font>
      <name val="Calibri"/>
      <sz val="11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11"/>
      <color rgb="FFFF0000"/>
    </font>
    <font>
      <name val="Calibri"/>
      <sz val="11"/>
    </font>
    <font>
      <name val="Calibri"/>
      <sz val="11"/>
      <color rgb="FF000000"/>
    </font>
    <font>
      <name val="Calibri"/>
      <sz val="11"/>
      <color rgb="FF000000"/>
    </font>
    <font>
      <name val="Calibri"/>
      <sz val="11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vertical="bottom"/>
    </xf>
    <xf numFmtId="0" fontId="2" fillId="0" borderId="1" xfId="0" applyBorder="1" applyAlignment="1">
      <alignment vertical="bottom"/>
    </xf>
    <xf numFmtId="0" fontId="1" fillId="0" borderId="1" xfId="0" applyFont="1" applyBorder="1" applyAlignment="1">
      <alignment horizontal="left" vertical="bottom"/>
    </xf>
    <xf numFmtId="17" fontId="3" fillId="0" borderId="1" xfId="0" applyNumberFormat="1" applyFont="1" applyBorder="1" applyAlignment="1">
      <alignment horizontal="center" vertical="bottom"/>
    </xf>
    <xf numFmtId="0" fontId="4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bottom" wrapText="1"/>
    </xf>
    <xf numFmtId="0" fontId="5" fillId="3" borderId="1" xfId="0" applyFont="1" applyFill="1" applyBorder="1" applyAlignment="1">
      <alignment horizontal="left" vertical="bottom"/>
    </xf>
    <xf numFmtId="0" fontId="5" fillId="3" borderId="1" xfId="0" applyFont="1" applyFill="1" applyBorder="1" applyAlignment="1">
      <alignment horizontal="center" vertical="bottom"/>
    </xf>
    <xf numFmtId="164" fontId="6" fillId="4" borderId="2" xfId="0" applyNumberFormat="1" applyFont="1" applyFill="1" applyBorder="1" applyAlignment="1">
      <alignment horizontal="center" vertical="bottom"/>
    </xf>
    <xf numFmtId="164" fontId="5" fillId="0" borderId="1" xfId="0" applyNumberFormat="1" applyFont="1" applyBorder="1" applyAlignment="1">
      <alignment horizontal="center" vertical="bottom"/>
    </xf>
    <xf numFmtId="164" fontId="7" fillId="4" borderId="2" xfId="0" applyNumberFormat="1" applyFont="1" applyFill="1" applyBorder="1" applyAlignment="1">
      <alignment horizontal="center" vertical="bottom"/>
    </xf>
    <xf numFmtId="164" fontId="1" fillId="0" borderId="1" xfId="0" applyNumberFormat="1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2" fontId="5" fillId="3" borderId="1" xfId="0" applyNumberFormat="1" applyFont="1" applyFill="1" applyBorder="1" applyAlignment="1">
      <alignment horizontal="center" vertical="bottom"/>
    </xf>
    <xf numFmtId="0" fontId="5" fillId="2" borderId="1" xfId="0" applyFont="1" applyFill="1" applyBorder="1" applyAlignment="1">
      <alignment vertical="bottom"/>
    </xf>
    <xf numFmtId="164" fontId="1" fillId="2" borderId="1" xfId="0" applyNumberFormat="1" applyFont="1" applyFill="1" applyBorder="1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62</xdr:row>
      <xdr:rowOff>0</xdr:rowOff>
    </xdr:from>
    <xdr:to>
      <xdr:col>1</xdr:col>
      <xdr:colOff>383040</xdr:colOff>
      <xdr:row>63</xdr:row>
      <xdr:rowOff>0</xdr:rowOff>
    </xdr:to>
    <xdr:sp macro="" textlink="">
      <xdr:nvSpPr>
        <xdr:cNvPr id="2" name="rect"/>
        <xdr:cNvSpPr/>
      </xdr:nvSpPr>
      <xdr:spPr>
        <a:xfrm>
          <a:off x="3819525" y="12011025"/>
          <a:ext cx="352425" cy="257175"/>
        </a:xfrm>
        <a:prstGeom prst="rect">
          <a:avLst/>
        </a:prstGeom>
        <a:noFill/>
        <a:ln w="1270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1</xdr:col>
      <xdr:colOff>383040</xdr:colOff>
      <xdr:row>63</xdr:row>
      <xdr:rowOff>0</xdr:rowOff>
    </xdr:to>
    <xdr:sp macro="" textlink="">
      <xdr:nvSpPr>
        <xdr:cNvPr id="3" name="rect"/>
        <xdr:cNvSpPr/>
      </xdr:nvSpPr>
      <xdr:spPr>
        <a:xfrm>
          <a:off x="3819525" y="12011025"/>
          <a:ext cx="352425" cy="257175"/>
        </a:xfrm>
        <a:prstGeom prst="rect">
          <a:avLst/>
        </a:prstGeom>
        <a:noFill/>
        <a:ln w="1270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1</xdr:col>
      <xdr:colOff>383040</xdr:colOff>
      <xdr:row>63</xdr:row>
      <xdr:rowOff>0</xdr:rowOff>
    </xdr:to>
    <xdr:sp macro="" textlink="">
      <xdr:nvSpPr>
        <xdr:cNvPr id="4" name="rect"/>
        <xdr:cNvSpPr/>
      </xdr:nvSpPr>
      <xdr:spPr>
        <a:xfrm>
          <a:off x="3819525" y="12011025"/>
          <a:ext cx="352425" cy="257175"/>
        </a:xfrm>
        <a:prstGeom prst="rect">
          <a:avLst/>
        </a:prstGeom>
        <a:noFill/>
        <a:ln w="1270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1</xdr:col>
      <xdr:colOff>383040</xdr:colOff>
      <xdr:row>63</xdr:row>
      <xdr:rowOff>0</xdr:rowOff>
    </xdr:to>
    <xdr:sp macro="" textlink="">
      <xdr:nvSpPr>
        <xdr:cNvPr id="5" name="rect"/>
        <xdr:cNvSpPr/>
      </xdr:nvSpPr>
      <xdr:spPr>
        <a:xfrm>
          <a:off x="3819525" y="12011025"/>
          <a:ext cx="352425" cy="257175"/>
        </a:xfrm>
        <a:prstGeom prst="rect">
          <a:avLst/>
        </a:prstGeom>
        <a:noFill/>
        <a:ln w="1270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0</xdr:col>
      <xdr:colOff>1749055</xdr:colOff>
      <xdr:row>26</xdr:row>
      <xdr:rowOff>75654</xdr:rowOff>
    </xdr:from>
    <xdr:to>
      <xdr:col>1</xdr:col>
      <xdr:colOff>423467</xdr:colOff>
      <xdr:row>36</xdr:row>
      <xdr:rowOff>12650</xdr:rowOff>
    </xdr:to>
    <xdr:sp macro="" textlink="">
      <xdr:nvSpPr>
        <xdr:cNvPr id="6" name="rect"/>
        <xdr:cNvSpPr/>
      </xdr:nvSpPr>
      <xdr:spPr>
        <a:xfrm>
          <a:off x="2667000" y="5334000"/>
          <a:ext cx="1619250" cy="1847850"/>
        </a:xfrm>
        <a:prstGeom prst="rect">
          <a:avLst/>
        </a:prstGeom>
        <a:noFill/>
        <a:ln w="12700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7"/>
  <sheetViews>
    <sheetView tabSelected="1" workbookViewId="0" zoomScale="102">
      <selection activeCell="E64" sqref="E64"/>
    </sheetView>
  </sheetViews>
  <sheetFormatPr defaultRowHeight="15.0" defaultColWidth="10"/>
  <cols>
    <col min="1" max="1" customWidth="1" bestFit="1" width="38.42578" style="0"/>
    <col min="2" max="2" hidden="1" customWidth="1" width="6.5703125" style="0"/>
    <col min="3" max="3" customWidth="1" width="10.855469" style="0"/>
    <col min="4" max="4" customWidth="1" width="10.5703125" style="0"/>
    <col min="5" max="5" customWidth="1" width="8.7109375" style="0"/>
    <col min="6" max="6" customWidth="1" width="11.5703125" style="0"/>
  </cols>
  <sheetData>
    <row r="1" spans="8:8" ht="15.0">
      <c r="A1" s="1" t="s">
        <v>76</v>
      </c>
      <c r="B1" s="2"/>
      <c r="C1" s="3" t="s">
        <v>72</v>
      </c>
      <c r="D1" s="4">
        <v>45992.0</v>
      </c>
      <c r="E1" s="5"/>
      <c r="F1" s="5"/>
    </row>
    <row r="2" spans="8:8" ht="30.0">
      <c r="A2" s="6" t="s">
        <v>70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spans="8:8">
      <c r="A3" s="7" t="s">
        <v>5</v>
      </c>
      <c r="B3" s="8">
        <v>151.2</v>
      </c>
      <c r="C3" s="9">
        <v>30.0</v>
      </c>
      <c r="D3" s="10"/>
      <c r="E3" s="10">
        <v>12.0</v>
      </c>
      <c r="F3" s="10">
        <f>(C3+D3-E3)</f>
        <v>18.0</v>
      </c>
    </row>
    <row r="4" spans="8:8" ht="15.25">
      <c r="A4" s="7" t="s">
        <v>6</v>
      </c>
      <c r="B4" s="8">
        <v>47.6</v>
      </c>
      <c r="C4" s="9">
        <v>0.0</v>
      </c>
      <c r="D4" s="10">
        <v>0.0</v>
      </c>
      <c r="E4" s="10">
        <v>0.0</v>
      </c>
      <c r="F4" s="10">
        <f>(C4+D4-E4)</f>
        <v>0.0</v>
      </c>
    </row>
    <row r="5" spans="8:8">
      <c r="A5" s="7" t="s">
        <v>7</v>
      </c>
      <c r="B5" s="8">
        <v>44.8</v>
      </c>
      <c r="C5" s="9">
        <v>16.0</v>
      </c>
      <c r="D5" s="10">
        <v>0.0</v>
      </c>
      <c r="E5" s="10">
        <v>14.0</v>
      </c>
      <c r="F5" s="10">
        <f>(C5+D5-E5)</f>
        <v>2.0</v>
      </c>
    </row>
    <row r="6" spans="8:8" ht="15.25">
      <c r="A6" s="7" t="s">
        <v>8</v>
      </c>
      <c r="B6" s="8">
        <v>72.8</v>
      </c>
      <c r="C6" s="9">
        <v>0.0</v>
      </c>
      <c r="D6" s="10">
        <v>0.0</v>
      </c>
      <c r="E6" s="10">
        <v>0.0</v>
      </c>
      <c r="F6" s="10">
        <f>(C6+D6-E6)</f>
        <v>0.0</v>
      </c>
    </row>
    <row r="7" spans="8:8">
      <c r="A7" s="7" t="s">
        <v>9</v>
      </c>
      <c r="B7" s="8">
        <v>42.0</v>
      </c>
      <c r="C7" s="9">
        <v>56.0</v>
      </c>
      <c r="D7" s="10">
        <v>0.0</v>
      </c>
      <c r="E7" s="10">
        <v>48.0</v>
      </c>
      <c r="F7" s="10">
        <f>(C7+D7-E7)</f>
        <v>8.0</v>
      </c>
    </row>
    <row r="8" spans="8:8">
      <c r="A8" s="7" t="s">
        <v>10</v>
      </c>
      <c r="B8" s="8">
        <v>106.4</v>
      </c>
      <c r="C8" s="9">
        <v>0.0</v>
      </c>
      <c r="D8" s="10">
        <v>0.0</v>
      </c>
      <c r="E8" s="10">
        <v>0.0</v>
      </c>
      <c r="F8" s="10">
        <f>(C8+D8-E8)</f>
        <v>0.0</v>
      </c>
    </row>
    <row r="9" spans="8:8" ht="15.25">
      <c r="A9" s="7" t="s">
        <v>11</v>
      </c>
      <c r="B9" s="8">
        <v>123.2</v>
      </c>
      <c r="C9" s="9">
        <v>0.0</v>
      </c>
      <c r="D9" s="10">
        <v>0.0</v>
      </c>
      <c r="E9" s="10">
        <v>0.0</v>
      </c>
      <c r="F9" s="10">
        <f>(C9+D9-E9)</f>
        <v>0.0</v>
      </c>
    </row>
    <row r="10" spans="8:8" ht="15.25">
      <c r="A10" s="7" t="s">
        <v>12</v>
      </c>
      <c r="B10" s="8">
        <v>39.2</v>
      </c>
      <c r="C10" s="9">
        <v>0.0</v>
      </c>
      <c r="D10" s="10">
        <v>0.0</v>
      </c>
      <c r="E10" s="10">
        <v>0.0</v>
      </c>
      <c r="F10" s="10">
        <f>(C10+D10-E10)</f>
        <v>0.0</v>
      </c>
    </row>
    <row r="11" spans="8:8">
      <c r="A11" s="7" t="s">
        <v>13</v>
      </c>
      <c r="B11" s="8">
        <v>78.4</v>
      </c>
      <c r="C11" s="9">
        <v>8.0</v>
      </c>
      <c r="D11" s="10">
        <v>0.0</v>
      </c>
      <c r="E11" s="10">
        <v>6.0</v>
      </c>
      <c r="F11" s="10">
        <f>(C11+D11-E11)</f>
        <v>2.0</v>
      </c>
    </row>
    <row r="12" spans="8:8">
      <c r="A12" s="7" t="s">
        <v>14</v>
      </c>
      <c r="B12" s="8">
        <v>134.4</v>
      </c>
      <c r="C12" s="9">
        <v>10.0</v>
      </c>
      <c r="D12" s="10">
        <v>0.0</v>
      </c>
      <c r="E12" s="10">
        <v>6.0</v>
      </c>
      <c r="F12" s="10">
        <f>(C12+D12-E12)</f>
        <v>4.0</v>
      </c>
    </row>
    <row r="13" spans="8:8">
      <c r="A13" s="7" t="s">
        <v>15</v>
      </c>
      <c r="B13" s="8">
        <v>117.6</v>
      </c>
      <c r="C13" s="9">
        <v>26.0</v>
      </c>
      <c r="D13" s="10">
        <v>0.0</v>
      </c>
      <c r="E13" s="10">
        <v>24.0</v>
      </c>
      <c r="F13" s="10">
        <f>(C13+D13-E13)</f>
        <v>2.0</v>
      </c>
    </row>
    <row r="14" spans="8:8" ht="15.25">
      <c r="A14" s="7" t="s">
        <v>16</v>
      </c>
      <c r="B14" s="8">
        <v>134.4</v>
      </c>
      <c r="C14" s="9">
        <v>0.0</v>
      </c>
      <c r="D14" s="10">
        <v>0.0</v>
      </c>
      <c r="E14" s="10">
        <v>0.0</v>
      </c>
      <c r="F14" s="10">
        <f>(C14+D14-E14)</f>
        <v>0.0</v>
      </c>
    </row>
    <row r="15" spans="8:8" ht="15.25">
      <c r="A15" s="7" t="s">
        <v>17</v>
      </c>
      <c r="B15" s="8">
        <v>120.4</v>
      </c>
      <c r="C15" s="9">
        <v>0.0</v>
      </c>
      <c r="D15" s="10">
        <v>0.0</v>
      </c>
      <c r="E15" s="10">
        <v>0.0</v>
      </c>
      <c r="F15" s="10">
        <f>(C15+D15-E15)</f>
        <v>0.0</v>
      </c>
    </row>
    <row r="16" spans="8:8" ht="15.25">
      <c r="A16" s="7" t="s">
        <v>18</v>
      </c>
      <c r="B16" s="8">
        <v>126.0</v>
      </c>
      <c r="C16" s="9">
        <v>0.0</v>
      </c>
      <c r="D16" s="10">
        <v>0.0</v>
      </c>
      <c r="E16" s="10">
        <v>0.0</v>
      </c>
      <c r="F16" s="10">
        <f>(C16+D16-E16)</f>
        <v>0.0</v>
      </c>
    </row>
    <row r="17" spans="8:8" ht="15.25">
      <c r="A17" s="7" t="s">
        <v>19</v>
      </c>
      <c r="B17" s="8">
        <v>47.6</v>
      </c>
      <c r="C17" s="9">
        <v>0.0</v>
      </c>
      <c r="D17" s="10">
        <v>0.0</v>
      </c>
      <c r="E17" s="10">
        <v>0.0</v>
      </c>
      <c r="F17" s="10">
        <f>(C17+D17-E17)</f>
        <v>0.0</v>
      </c>
    </row>
    <row r="18" spans="8:8" ht="15.25">
      <c r="A18" s="7" t="s">
        <v>20</v>
      </c>
      <c r="B18" s="8">
        <v>106.4</v>
      </c>
      <c r="C18" s="9">
        <v>0.0</v>
      </c>
      <c r="D18" s="10">
        <v>0.0</v>
      </c>
      <c r="E18" s="10">
        <v>0.0</v>
      </c>
      <c r="F18" s="10">
        <f>(C18+D18-E18)</f>
        <v>0.0</v>
      </c>
    </row>
    <row r="19" spans="8:8" ht="15.25">
      <c r="A19" s="7" t="s">
        <v>21</v>
      </c>
      <c r="B19" s="8">
        <v>165.2</v>
      </c>
      <c r="C19" s="9">
        <v>0.0</v>
      </c>
      <c r="D19" s="10">
        <v>0.0</v>
      </c>
      <c r="E19" s="10">
        <v>0.0</v>
      </c>
      <c r="F19" s="10">
        <f>(C19+D19-E19)</f>
        <v>0.0</v>
      </c>
    </row>
    <row r="20" spans="8:8" ht="15.25">
      <c r="A20" s="7" t="s">
        <v>22</v>
      </c>
      <c r="B20" s="8">
        <v>176.4</v>
      </c>
      <c r="C20" s="11">
        <v>0.0</v>
      </c>
      <c r="D20" s="10">
        <v>0.0</v>
      </c>
      <c r="E20" s="10">
        <v>0.0</v>
      </c>
      <c r="F20" s="10">
        <f>(C20+D20-E20)</f>
        <v>0.0</v>
      </c>
    </row>
    <row r="21" spans="8:8">
      <c r="A21" s="7" t="s">
        <v>23</v>
      </c>
      <c r="B21" s="8">
        <v>109.2</v>
      </c>
      <c r="C21" s="9">
        <v>0.0</v>
      </c>
      <c r="D21" s="10">
        <v>0.0</v>
      </c>
      <c r="E21" s="12">
        <v>0.0</v>
      </c>
      <c r="F21" s="10">
        <f>(C21+D21-E21)</f>
        <v>0.0</v>
      </c>
    </row>
    <row r="22" spans="8:8" ht="15.25">
      <c r="A22" s="7" t="s">
        <v>24</v>
      </c>
      <c r="B22" s="8">
        <v>89.6</v>
      </c>
      <c r="C22" s="9">
        <v>0.0</v>
      </c>
      <c r="D22" s="10">
        <v>0.0</v>
      </c>
      <c r="E22" s="10">
        <v>0.0</v>
      </c>
      <c r="F22" s="10">
        <f>(C22+D22-E22)</f>
        <v>0.0</v>
      </c>
    </row>
    <row r="23" spans="8:8" ht="15.25">
      <c r="A23" s="7" t="s">
        <v>25</v>
      </c>
      <c r="B23" s="8">
        <v>140.0</v>
      </c>
      <c r="C23" s="9">
        <v>0.0</v>
      </c>
      <c r="D23" s="10">
        <v>0.0</v>
      </c>
      <c r="E23" s="10">
        <v>0.0</v>
      </c>
      <c r="F23" s="10">
        <f>(C23+D23-E23)</f>
        <v>0.0</v>
      </c>
    </row>
    <row r="24" spans="8:8" ht="15.25">
      <c r="A24" s="7" t="s">
        <v>26</v>
      </c>
      <c r="B24" s="8">
        <v>128.8</v>
      </c>
      <c r="C24" s="9">
        <v>0.0</v>
      </c>
      <c r="D24" s="10">
        <v>0.0</v>
      </c>
      <c r="E24" s="10">
        <v>0.0</v>
      </c>
      <c r="F24" s="10">
        <f>(C24+D24-E24)</f>
        <v>0.0</v>
      </c>
    </row>
    <row r="25" spans="8:8" ht="15.25">
      <c r="A25" s="7" t="s">
        <v>27</v>
      </c>
      <c r="B25" s="8">
        <v>50.4</v>
      </c>
      <c r="C25" s="11">
        <v>0.0</v>
      </c>
      <c r="D25" s="10">
        <v>0.0</v>
      </c>
      <c r="E25" s="10">
        <v>0.0</v>
      </c>
      <c r="F25" s="10">
        <f>(C25+D25-E25)</f>
        <v>0.0</v>
      </c>
    </row>
    <row r="26" spans="8:8" ht="15.25">
      <c r="A26" s="7" t="s">
        <v>28</v>
      </c>
      <c r="B26" s="8">
        <v>64.4</v>
      </c>
      <c r="C26" s="9">
        <v>0.0</v>
      </c>
      <c r="D26" s="10">
        <v>0.0</v>
      </c>
      <c r="E26" s="10">
        <v>0.0</v>
      </c>
      <c r="F26" s="10">
        <f>(C26+D26-E26)</f>
        <v>0.0</v>
      </c>
    </row>
    <row r="27" spans="8:8" ht="15.25">
      <c r="A27" s="7" t="s">
        <v>29</v>
      </c>
      <c r="B27" s="8">
        <v>84.0</v>
      </c>
      <c r="C27" s="11">
        <v>0.0</v>
      </c>
      <c r="D27" s="10">
        <v>0.0</v>
      </c>
      <c r="E27" s="10">
        <v>0.0</v>
      </c>
      <c r="F27" s="10">
        <f>(C27+D27-E27)</f>
        <v>0.0</v>
      </c>
    </row>
    <row r="28" spans="8:8" ht="15.25">
      <c r="A28" s="7" t="s">
        <v>30</v>
      </c>
      <c r="B28" s="8">
        <v>56.0</v>
      </c>
      <c r="C28" s="11">
        <v>0.0</v>
      </c>
      <c r="D28" s="10">
        <v>0.0</v>
      </c>
      <c r="E28" s="10">
        <v>0.0</v>
      </c>
      <c r="F28" s="10">
        <f>(C28+D28-E28)</f>
        <v>0.0</v>
      </c>
    </row>
    <row r="29" spans="8:8" ht="15.25">
      <c r="A29" s="7" t="s">
        <v>31</v>
      </c>
      <c r="B29" s="8">
        <v>64.4</v>
      </c>
      <c r="C29" s="11">
        <v>0.0</v>
      </c>
      <c r="D29" s="10">
        <v>0.0</v>
      </c>
      <c r="E29" s="10">
        <v>0.0</v>
      </c>
      <c r="F29" s="10">
        <f>(C29+D29-E29)</f>
        <v>0.0</v>
      </c>
    </row>
    <row r="30" spans="8:8" ht="15.25">
      <c r="A30" s="7" t="s">
        <v>32</v>
      </c>
      <c r="B30" s="8">
        <v>56.0</v>
      </c>
      <c r="C30" s="11">
        <v>0.0</v>
      </c>
      <c r="D30" s="10">
        <v>0.0</v>
      </c>
      <c r="E30" s="10">
        <v>0.0</v>
      </c>
      <c r="F30" s="10">
        <f>(C30+D30-E30)</f>
        <v>0.0</v>
      </c>
    </row>
    <row r="31" spans="8:8" ht="15.25">
      <c r="A31" s="7" t="s">
        <v>33</v>
      </c>
      <c r="B31" s="8">
        <v>84.0</v>
      </c>
      <c r="C31" s="9">
        <v>0.0</v>
      </c>
      <c r="D31" s="10">
        <v>0.0</v>
      </c>
      <c r="E31" s="10">
        <v>0.0</v>
      </c>
      <c r="F31" s="10">
        <f>(C31+D31-E31)</f>
        <v>0.0</v>
      </c>
    </row>
    <row r="32" spans="8:8" ht="15.25">
      <c r="A32" s="7" t="s">
        <v>34</v>
      </c>
      <c r="B32" s="8">
        <v>67.2</v>
      </c>
      <c r="C32" s="11">
        <v>0.0</v>
      </c>
      <c r="D32" s="10">
        <v>0.0</v>
      </c>
      <c r="E32" s="10">
        <v>0.0</v>
      </c>
      <c r="F32" s="10">
        <f>(C32+D32-E32)</f>
        <v>0.0</v>
      </c>
    </row>
    <row r="33" spans="8:8" ht="15.25">
      <c r="A33" s="7" t="s">
        <v>35</v>
      </c>
      <c r="B33" s="8">
        <v>140.0</v>
      </c>
      <c r="C33" s="9">
        <v>0.0</v>
      </c>
      <c r="D33" s="10">
        <v>0.0</v>
      </c>
      <c r="E33" s="10">
        <v>0.0</v>
      </c>
      <c r="F33" s="10">
        <f>(C33+D33-E33)</f>
        <v>0.0</v>
      </c>
    </row>
    <row r="34" spans="8:8" ht="15.25">
      <c r="A34" s="7" t="s">
        <v>36</v>
      </c>
      <c r="B34" s="8">
        <v>151.2</v>
      </c>
      <c r="C34" s="9">
        <v>0.0</v>
      </c>
      <c r="D34" s="10">
        <v>0.0</v>
      </c>
      <c r="E34" s="10">
        <v>0.0</v>
      </c>
      <c r="F34" s="10">
        <f>(C34+D34-E34)</f>
        <v>0.0</v>
      </c>
    </row>
    <row r="35" spans="8:8">
      <c r="A35" s="7" t="s">
        <v>37</v>
      </c>
      <c r="B35" s="8">
        <v>137.2</v>
      </c>
      <c r="C35" s="9">
        <v>2.0</v>
      </c>
      <c r="D35" s="10">
        <v>0.0</v>
      </c>
      <c r="E35" s="10">
        <v>2.0</v>
      </c>
      <c r="F35" s="10">
        <f>(C35+D35-E35)</f>
        <v>0.0</v>
      </c>
    </row>
    <row r="36" spans="8:8" ht="15.25">
      <c r="A36" s="7" t="s">
        <v>38</v>
      </c>
      <c r="B36" s="8">
        <v>106.4</v>
      </c>
      <c r="C36" s="9">
        <v>0.0</v>
      </c>
      <c r="D36" s="10">
        <v>0.0</v>
      </c>
      <c r="E36" s="10">
        <v>0.0</v>
      </c>
      <c r="F36" s="10">
        <f>(C36+D36-E36)</f>
        <v>0.0</v>
      </c>
    </row>
    <row r="37" spans="8:8">
      <c r="A37" s="7" t="s">
        <v>39</v>
      </c>
      <c r="B37" s="8">
        <v>72.8</v>
      </c>
      <c r="C37" s="9">
        <v>12.0</v>
      </c>
      <c r="D37" s="10">
        <v>0.0</v>
      </c>
      <c r="E37" s="10">
        <v>12.0</v>
      </c>
      <c r="F37" s="10">
        <f>(C37+D37-E37)</f>
        <v>0.0</v>
      </c>
    </row>
    <row r="38" spans="8:8">
      <c r="A38" s="7" t="s">
        <v>40</v>
      </c>
      <c r="B38" s="8">
        <v>114.8</v>
      </c>
      <c r="C38" s="9">
        <v>2.0</v>
      </c>
      <c r="D38" s="10">
        <v>0.0</v>
      </c>
      <c r="E38" s="10">
        <v>2.0</v>
      </c>
      <c r="F38" s="10">
        <f>(C38+D38-E38)</f>
        <v>0.0</v>
      </c>
    </row>
    <row r="39" spans="8:8">
      <c r="A39" s="7" t="s">
        <v>41</v>
      </c>
      <c r="B39" s="8">
        <v>182.0</v>
      </c>
      <c r="C39" s="11">
        <v>1.0</v>
      </c>
      <c r="D39" s="10">
        <v>0.0</v>
      </c>
      <c r="E39" s="10">
        <v>1.0</v>
      </c>
      <c r="F39" s="10">
        <f>(C39+D39-E39)</f>
        <v>0.0</v>
      </c>
    </row>
    <row r="40" spans="8:8" ht="15.25">
      <c r="A40" s="13" t="s">
        <v>42</v>
      </c>
      <c r="B40" s="8">
        <v>114.8</v>
      </c>
      <c r="C40" s="9">
        <v>0.0</v>
      </c>
      <c r="D40" s="10">
        <v>0.0</v>
      </c>
      <c r="E40" s="10">
        <v>0.0</v>
      </c>
      <c r="F40" s="10">
        <f>(C40+D40-E40)</f>
        <v>0.0</v>
      </c>
    </row>
    <row r="41" spans="8:8">
      <c r="A41" s="13" t="s">
        <v>43</v>
      </c>
      <c r="B41" s="8">
        <v>123.2</v>
      </c>
      <c r="C41" s="9">
        <v>16.0</v>
      </c>
      <c r="D41" s="10">
        <v>0.0</v>
      </c>
      <c r="E41" s="10">
        <v>16.0</v>
      </c>
      <c r="F41" s="10">
        <f>(C41+D41-E41)</f>
        <v>0.0</v>
      </c>
    </row>
    <row r="42" spans="8:8" ht="15.25">
      <c r="A42" s="13" t="s">
        <v>44</v>
      </c>
      <c r="B42" s="8">
        <v>120.4</v>
      </c>
      <c r="C42" s="9">
        <v>0.0</v>
      </c>
      <c r="D42" s="10">
        <v>0.0</v>
      </c>
      <c r="E42" s="10">
        <v>0.0</v>
      </c>
      <c r="F42" s="10">
        <f>(C42+D42-E42)</f>
        <v>0.0</v>
      </c>
    </row>
    <row r="43" spans="8:8" ht="15.25">
      <c r="A43" s="13" t="s">
        <v>45</v>
      </c>
      <c r="B43" s="8">
        <v>112.0</v>
      </c>
      <c r="C43" s="11">
        <v>0.0</v>
      </c>
      <c r="D43" s="10">
        <v>0.0</v>
      </c>
      <c r="E43" s="10">
        <v>0.0</v>
      </c>
      <c r="F43" s="10">
        <f>(C43+D43-E43)</f>
        <v>0.0</v>
      </c>
    </row>
    <row r="44" spans="8:8">
      <c r="A44" s="13" t="s">
        <v>46</v>
      </c>
      <c r="B44" s="8">
        <v>126.0</v>
      </c>
      <c r="C44" s="9">
        <v>29.0</v>
      </c>
      <c r="D44" s="10">
        <v>0.0</v>
      </c>
      <c r="E44" s="10">
        <v>9.0</v>
      </c>
      <c r="F44" s="10">
        <f>(C44+D44-E44)</f>
        <v>20.0</v>
      </c>
    </row>
    <row r="45" spans="8:8">
      <c r="A45" s="13" t="s">
        <v>47</v>
      </c>
      <c r="B45" s="8">
        <v>100.8</v>
      </c>
      <c r="C45" s="11">
        <v>78.0</v>
      </c>
      <c r="D45" s="10">
        <v>0.0</v>
      </c>
      <c r="E45" s="10">
        <v>22.0</v>
      </c>
      <c r="F45" s="10">
        <f>(C45+D45-E45)</f>
        <v>56.0</v>
      </c>
    </row>
    <row r="46" spans="8:8" ht="15.25">
      <c r="A46" s="13" t="s">
        <v>48</v>
      </c>
      <c r="B46" s="8">
        <v>140.0</v>
      </c>
      <c r="C46" s="9">
        <v>0.0</v>
      </c>
      <c r="D46" s="10">
        <v>0.0</v>
      </c>
      <c r="E46" s="10">
        <v>0.0</v>
      </c>
      <c r="F46" s="10">
        <f>(C46+D46-E46)</f>
        <v>0.0</v>
      </c>
    </row>
    <row r="47" spans="8:8" ht="15.25">
      <c r="A47" s="13" t="s">
        <v>49</v>
      </c>
      <c r="B47" s="8">
        <v>123.2</v>
      </c>
      <c r="C47" s="9">
        <v>0.0</v>
      </c>
      <c r="D47" s="10">
        <v>0.0</v>
      </c>
      <c r="E47" s="10">
        <v>0.0</v>
      </c>
      <c r="F47" s="10">
        <f>(C47+D47-E47)</f>
        <v>0.0</v>
      </c>
    </row>
    <row r="48" spans="8:8" ht="15.25">
      <c r="A48" s="13" t="s">
        <v>50</v>
      </c>
      <c r="B48" s="8">
        <v>123.2</v>
      </c>
      <c r="C48" s="9">
        <v>0.0</v>
      </c>
      <c r="D48" s="10">
        <v>0.0</v>
      </c>
      <c r="E48" s="10">
        <v>0.0</v>
      </c>
      <c r="F48" s="10">
        <f>(C48+D48-E48)</f>
        <v>0.0</v>
      </c>
    </row>
    <row r="49" spans="8:8" ht="15.25">
      <c r="A49" s="13" t="s">
        <v>51</v>
      </c>
      <c r="B49" s="14">
        <v>319.2</v>
      </c>
      <c r="C49" s="11">
        <v>0.0</v>
      </c>
      <c r="D49" s="10">
        <v>0.0</v>
      </c>
      <c r="E49" s="10">
        <v>0.0</v>
      </c>
      <c r="F49" s="10">
        <f>(C49+D49-E49)</f>
        <v>0.0</v>
      </c>
    </row>
    <row r="50" spans="8:8" ht="15.25">
      <c r="A50" s="13" t="s">
        <v>52</v>
      </c>
      <c r="B50" s="8">
        <v>319.2</v>
      </c>
      <c r="C50" s="11">
        <v>0.0</v>
      </c>
      <c r="D50" s="10">
        <v>0.0</v>
      </c>
      <c r="E50" s="10">
        <v>0.0</v>
      </c>
      <c r="F50" s="10">
        <f>(C50+D50-E50)</f>
        <v>0.0</v>
      </c>
    </row>
    <row r="51" spans="8:8" ht="15.25">
      <c r="A51" s="13" t="s">
        <v>53</v>
      </c>
      <c r="B51" s="8">
        <v>128.8</v>
      </c>
      <c r="C51" s="9">
        <v>0.0</v>
      </c>
      <c r="D51" s="10">
        <v>0.0</v>
      </c>
      <c r="E51" s="10">
        <v>0.0</v>
      </c>
      <c r="F51" s="10">
        <f>(C51+D51-E51)</f>
        <v>0.0</v>
      </c>
    </row>
    <row r="52" spans="8:8" ht="15.25">
      <c r="A52" s="13" t="s">
        <v>54</v>
      </c>
      <c r="B52" s="8">
        <v>98.0</v>
      </c>
      <c r="C52" s="9">
        <v>0.0</v>
      </c>
      <c r="D52" s="10">
        <v>0.0</v>
      </c>
      <c r="E52" s="10">
        <v>0.0</v>
      </c>
      <c r="F52" s="10">
        <f>(C52+D52-E52)</f>
        <v>0.0</v>
      </c>
    </row>
    <row r="53" spans="8:8" ht="15.25">
      <c r="A53" s="13" t="s">
        <v>55</v>
      </c>
      <c r="B53" s="8">
        <v>151.2</v>
      </c>
      <c r="C53" s="11">
        <v>0.0</v>
      </c>
      <c r="D53" s="10">
        <v>0.0</v>
      </c>
      <c r="E53" s="10">
        <v>0.0</v>
      </c>
      <c r="F53" s="10">
        <f>(C53+D53-E53)</f>
        <v>0.0</v>
      </c>
    </row>
    <row r="54" spans="8:8" ht="15.25">
      <c r="A54" s="13" t="s">
        <v>56</v>
      </c>
      <c r="B54" s="8">
        <v>218.4</v>
      </c>
      <c r="C54" s="11">
        <v>0.0</v>
      </c>
      <c r="D54" s="10">
        <v>0.0</v>
      </c>
      <c r="E54" s="10">
        <v>0.0</v>
      </c>
      <c r="F54" s="10">
        <f>(C54+D54-E54)</f>
        <v>0.0</v>
      </c>
    </row>
    <row r="55" spans="8:8" ht="15.25">
      <c r="A55" s="13" t="s">
        <v>57</v>
      </c>
      <c r="B55" s="8">
        <v>218.4</v>
      </c>
      <c r="C55" s="9">
        <v>0.0</v>
      </c>
      <c r="D55" s="10">
        <v>0.0</v>
      </c>
      <c r="E55" s="10">
        <v>0.0</v>
      </c>
      <c r="F55" s="10">
        <f>(C55+D55-E55)</f>
        <v>0.0</v>
      </c>
    </row>
    <row r="56" spans="8:8" ht="15.25">
      <c r="A56" s="13" t="s">
        <v>58</v>
      </c>
      <c r="B56" s="8">
        <v>56.0</v>
      </c>
      <c r="C56" s="9">
        <v>0.0</v>
      </c>
      <c r="D56" s="10">
        <v>0.0</v>
      </c>
      <c r="E56" s="10">
        <v>0.0</v>
      </c>
      <c r="F56" s="10">
        <f>(C56+D56-E56)</f>
        <v>0.0</v>
      </c>
    </row>
    <row r="57" spans="8:8" ht="15.25">
      <c r="A57" s="13" t="s">
        <v>59</v>
      </c>
      <c r="B57" s="8">
        <v>103.6</v>
      </c>
      <c r="C57" s="9">
        <v>0.0</v>
      </c>
      <c r="D57" s="10">
        <v>0.0</v>
      </c>
      <c r="E57" s="10">
        <v>0.0</v>
      </c>
      <c r="F57" s="10">
        <f>(C57+D57-E57)</f>
        <v>0.0</v>
      </c>
    </row>
    <row r="58" spans="8:8" ht="15.25">
      <c r="A58" s="13" t="s">
        <v>60</v>
      </c>
      <c r="B58" s="8">
        <v>123.2</v>
      </c>
      <c r="C58" s="11">
        <v>0.0</v>
      </c>
      <c r="D58" s="10">
        <v>0.0</v>
      </c>
      <c r="E58" s="10">
        <v>0.0</v>
      </c>
      <c r="F58" s="10">
        <f>(C58+D58-E58)</f>
        <v>0.0</v>
      </c>
    </row>
    <row r="59" spans="8:8">
      <c r="A59" s="13" t="s">
        <v>61</v>
      </c>
      <c r="B59" s="8">
        <v>112.0</v>
      </c>
      <c r="C59" s="9">
        <v>0.0</v>
      </c>
      <c r="D59" s="10">
        <v>28.0</v>
      </c>
      <c r="E59" s="10">
        <v>4.0</v>
      </c>
      <c r="F59" s="10">
        <f>(C59+D59-E59)</f>
        <v>24.0</v>
      </c>
    </row>
    <row r="60" spans="8:8">
      <c r="A60" s="13" t="s">
        <v>62</v>
      </c>
      <c r="B60" s="8">
        <v>123.2</v>
      </c>
      <c r="C60" s="9">
        <v>4.0</v>
      </c>
      <c r="D60" s="10">
        <v>100.0</v>
      </c>
      <c r="E60" s="10">
        <v>7.0</v>
      </c>
      <c r="F60" s="10">
        <f>(C60+D60-E60)</f>
        <v>97.0</v>
      </c>
    </row>
    <row r="61" spans="8:8" ht="15.25">
      <c r="A61" s="13" t="s">
        <v>63</v>
      </c>
      <c r="B61" s="8">
        <v>84.0</v>
      </c>
      <c r="C61" s="9">
        <v>0.0</v>
      </c>
      <c r="D61" s="10">
        <v>0.0</v>
      </c>
      <c r="E61" s="10">
        <v>0.0</v>
      </c>
      <c r="F61" s="10">
        <f>(C61+D61-E61)</f>
        <v>0.0</v>
      </c>
    </row>
    <row r="62" spans="8:8" ht="15.25">
      <c r="A62" s="13" t="s">
        <v>64</v>
      </c>
      <c r="B62" s="8">
        <v>140.0</v>
      </c>
      <c r="C62" s="9">
        <v>0.0</v>
      </c>
      <c r="D62" s="10">
        <v>0.0</v>
      </c>
      <c r="E62" s="10">
        <v>0.0</v>
      </c>
      <c r="F62" s="10">
        <f>(C62+D62-E62)</f>
        <v>0.0</v>
      </c>
    </row>
    <row r="63" spans="8:8" ht="15.25">
      <c r="A63" s="13" t="s">
        <v>65</v>
      </c>
      <c r="B63" s="8">
        <v>173.6</v>
      </c>
      <c r="C63" s="11">
        <v>0.0</v>
      </c>
      <c r="D63" s="10">
        <v>0.0</v>
      </c>
      <c r="E63" s="10">
        <v>0.0</v>
      </c>
      <c r="F63" s="10">
        <f>(C63+D63-E63)</f>
        <v>0.0</v>
      </c>
    </row>
    <row r="64" spans="8:8">
      <c r="A64" s="13" t="s">
        <v>66</v>
      </c>
      <c r="B64" s="8">
        <v>123.2</v>
      </c>
      <c r="C64" s="9">
        <v>5.0</v>
      </c>
      <c r="D64" s="10">
        <v>0.0</v>
      </c>
      <c r="E64" s="10">
        <v>5.0</v>
      </c>
      <c r="F64" s="10">
        <f>(C64+D64-E64)</f>
        <v>0.0</v>
      </c>
    </row>
    <row r="65" spans="8:8">
      <c r="A65" s="13" t="s">
        <v>67</v>
      </c>
      <c r="B65" s="8">
        <v>84.0</v>
      </c>
      <c r="C65" s="9">
        <v>26.0</v>
      </c>
      <c r="D65" s="10">
        <v>0.0</v>
      </c>
      <c r="E65" s="10">
        <v>8.0</v>
      </c>
      <c r="F65" s="10">
        <f>(C65+D65-E65)</f>
        <v>18.0</v>
      </c>
    </row>
    <row r="66" spans="8:8" ht="15.25">
      <c r="A66" s="13" t="s">
        <v>68</v>
      </c>
      <c r="B66" s="8">
        <v>70.0</v>
      </c>
      <c r="C66" s="11">
        <v>0.0</v>
      </c>
      <c r="D66" s="10">
        <v>0.0</v>
      </c>
      <c r="E66" s="10">
        <v>0.0</v>
      </c>
      <c r="F66" s="10">
        <f>(C66+D66-E66)</f>
        <v>0.0</v>
      </c>
    </row>
    <row r="67" spans="8:8">
      <c r="A67" s="15" t="s">
        <v>69</v>
      </c>
      <c r="B67" s="15"/>
      <c r="C67" s="16">
        <f>SUMPRODUCT(B3:B66,C3:C66)</f>
        <v>30973.600000000002</v>
      </c>
      <c r="D67" s="16">
        <f>SUMPRODUCT(B3:B66,D3:D66)</f>
        <v>15456.0</v>
      </c>
      <c r="E67" s="16">
        <f>SUMPRODUCT(B3:B66,E3:E66)</f>
        <v>18037.600000000002</v>
      </c>
      <c r="F67" s="16">
        <f>SUMPRODUCT(B3:B66,F3:F66)</f>
        <v>28392.0</v>
      </c>
    </row>
  </sheetData>
  <mergeCells count="1">
    <mergeCell ref="D1:F1"/>
  </mergeCell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L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L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home</Company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ismail - [2010]</dc:creator>
  <cp:lastModifiedBy>ismail - [2010]</cp:lastModifiedBy>
  <dcterms:created xsi:type="dcterms:W3CDTF">2024-09-07T03:06:25Z</dcterms:created>
  <dcterms:modified xsi:type="dcterms:W3CDTF">2026-01-07T03:29:05Z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c9e3f0dc9d8d477abbbac7661962bdf3</vt:lpwstr>
  </property>
</Properties>
</file>