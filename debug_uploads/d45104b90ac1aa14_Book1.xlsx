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3940" windowHeight="11040"/>
  </bookViews>
  <sheets>
    <sheet name="Stock and Sale Analysi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7" i="1" l="1"/>
  <c r="I77" i="1"/>
  <c r="H77" i="1"/>
  <c r="J9" i="1"/>
  <c r="I9" i="1"/>
  <c r="H9" i="1"/>
</calcChain>
</file>

<file path=xl/sharedStrings.xml><?xml version="1.0" encoding="utf-8"?>
<sst xmlns="http://schemas.openxmlformats.org/spreadsheetml/2006/main" count="155" uniqueCount="115">
  <si>
    <t>00</t>
  </si>
  <si>
    <t>FLORASANTE CAP (1*10)</t>
  </si>
  <si>
    <t>1*10CAP</t>
  </si>
  <si>
    <t>HIMCOCID SYP SAUNF</t>
  </si>
  <si>
    <t>1*200ML</t>
  </si>
  <si>
    <t>Total Value (00)</t>
  </si>
  <si>
    <t>HIMALAYA -ZANDRA</t>
  </si>
  <si>
    <t>ARJUNA  TAB</t>
  </si>
  <si>
    <t>1*60 TAB</t>
  </si>
  <si>
    <t>BONNISAN  DROP 30 ML</t>
  </si>
  <si>
    <t>1*30 ML</t>
  </si>
  <si>
    <t>BONNISAN LIQ 100ML</t>
  </si>
  <si>
    <t>1*100ML</t>
  </si>
  <si>
    <t>BONNISAN LIQ 200ML</t>
  </si>
  <si>
    <t>1*200M;</t>
  </si>
  <si>
    <t>BONNISPAZ DROPS 15ML</t>
  </si>
  <si>
    <t>1*15ML</t>
  </si>
  <si>
    <t>BRESOL  SYP  200ML</t>
  </si>
  <si>
    <t>BRESOL  SYP 100ML</t>
  </si>
  <si>
    <t>BRESOL TAB</t>
  </si>
  <si>
    <t>CYSTONE FORTE TAB</t>
  </si>
  <si>
    <t>1*30 TAB</t>
  </si>
  <si>
    <t>CYSTONE SF LIQ 200ML</t>
  </si>
  <si>
    <t>CYSTONE SYP  200ML</t>
  </si>
  <si>
    <t>CYSTONE SYP 100ML</t>
  </si>
  <si>
    <t>CYSTONE TAB</t>
  </si>
  <si>
    <t>EVECARE CAP</t>
  </si>
  <si>
    <t>1*30 CAP</t>
  </si>
  <si>
    <t>EVECARE FORTE LIQ  200ML</t>
  </si>
  <si>
    <t>EVECARE FORTE TAB</t>
  </si>
  <si>
    <t>1*10 TAB</t>
  </si>
  <si>
    <t>EVECARE SYP 200ML</t>
  </si>
  <si>
    <t>EVECARE SYP 400ML</t>
  </si>
  <si>
    <t>1*400ML</t>
  </si>
  <si>
    <t>EVEGEL  30GM INDIA</t>
  </si>
  <si>
    <t>1*30GM</t>
  </si>
  <si>
    <t>FLORASANTE CAP</t>
  </si>
  <si>
    <t>1*20 CAP</t>
  </si>
  <si>
    <t>GERIFORTE SYP 200ML</t>
  </si>
  <si>
    <t>GERIFORTE TAB</t>
  </si>
  <si>
    <t>1*100TAB</t>
  </si>
  <si>
    <t>1*60</t>
  </si>
  <si>
    <t>HIMCOSPAZ CAP</t>
  </si>
  <si>
    <t>1*10 CAP</t>
  </si>
  <si>
    <t>HIMPLASIA TAB</t>
  </si>
  <si>
    <t>HIORA  K TOOTH PASTE 100GM</t>
  </si>
  <si>
    <t>1*100GM</t>
  </si>
  <si>
    <t>HIORA  K TOOTH PASTE 50GM</t>
  </si>
  <si>
    <t>1*50 GM</t>
  </si>
  <si>
    <t>HIORA  TOOTHPASTE 100GM</t>
  </si>
  <si>
    <t>HIORA  TOOTHPASTE 50GM</t>
  </si>
  <si>
    <t>1*50GM</t>
  </si>
  <si>
    <t>HIORA GA GEL 15ML</t>
  </si>
  <si>
    <t>1*15 ML</t>
  </si>
  <si>
    <t>HIORA K MOUTH WASH 150ML</t>
  </si>
  <si>
    <t>1*150ML</t>
  </si>
  <si>
    <t>HIORA MOUTH WASH 150ML</t>
  </si>
  <si>
    <t>HIORA SG GEL 10ML</t>
  </si>
  <si>
    <t>1*10 GM</t>
  </si>
  <si>
    <t>HIOWNA VANILL FLV (MOMZ)200GM</t>
  </si>
  <si>
    <t>1*200GM</t>
  </si>
  <si>
    <t>IMMUSANTE TAB</t>
  </si>
  <si>
    <t>1*20 TAB</t>
  </si>
  <si>
    <t>KARELA  TAB</t>
  </si>
  <si>
    <t>LASUNA TAB</t>
  </si>
  <si>
    <t>LIV 52 DROP 100ML</t>
  </si>
  <si>
    <t>LIV 52 DROP 60ML</t>
  </si>
  <si>
    <t>1*60ML</t>
  </si>
  <si>
    <t>LIV 52 DS SYP  200ML</t>
  </si>
  <si>
    <t>LIV 52 DS SYP 100ML</t>
  </si>
  <si>
    <t>LIV 52 DS SYP SF 100ML</t>
  </si>
  <si>
    <t>LIV 52 DS TAB</t>
  </si>
  <si>
    <t>LUKOL  TAB</t>
  </si>
  <si>
    <t>LUKOL SYP  200ML</t>
  </si>
  <si>
    <t>MENOSAN TAB</t>
  </si>
  <si>
    <t>MENTAT  DS SYP SF 100ML</t>
  </si>
  <si>
    <t>MENTAT GUMMIES</t>
  </si>
  <si>
    <t>1*30</t>
  </si>
  <si>
    <t>MENTAT SYP  200ML</t>
  </si>
  <si>
    <t>MENTAT TAB 60</t>
  </si>
  <si>
    <t>MESHASHRINGI TAB 60</t>
  </si>
  <si>
    <t>METHI TAB</t>
  </si>
  <si>
    <t>1*60TAB</t>
  </si>
  <si>
    <t>PLATENZA SYR 100ML</t>
  </si>
  <si>
    <t>PLATENZA TAB</t>
  </si>
  <si>
    <t>QUISTA KIDZ 200GM (CHOCO FLV)</t>
  </si>
  <si>
    <t>QUISTA KIDZ 200GM (VANILL FLV)</t>
  </si>
  <si>
    <t>REOSTO TAB</t>
  </si>
  <si>
    <t>SEPTILIN DROP 60ML</t>
  </si>
  <si>
    <t>SEPTILIN GUMMIES</t>
  </si>
  <si>
    <t>1*30CAP</t>
  </si>
  <si>
    <t>SEPTILIN SYP 200ML</t>
  </si>
  <si>
    <t>SEPTILIN TAB</t>
  </si>
  <si>
    <t>SERPINA TAB</t>
  </si>
  <si>
    <t>1*100 TAB</t>
  </si>
  <si>
    <t>SHATAVARI TAB(HIMALYA)</t>
  </si>
  <si>
    <t>SPEMAN TAB</t>
  </si>
  <si>
    <t>STYPLON TAB</t>
  </si>
  <si>
    <t>V-GEL 30GM</t>
  </si>
  <si>
    <t>Total Value (HIMALAYA -ZANDRA)</t>
  </si>
  <si>
    <t>Total</t>
  </si>
  <si>
    <t>MILLENNIUM MEDISOLUTIONS PVT. LTD.</t>
  </si>
  <si>
    <t>KHASRA NO 678 &amp; 679 VILL KHADSA SUB TEHSIL KADIPUR NH8-HERO HONDA CHOWK</t>
  </si>
  <si>
    <t>Stock And Sales</t>
  </si>
  <si>
    <t>FROM: 01-Sep-26 TO: 28-Sep-26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</si>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</sst>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indexed="16"/>
      <name val="Calibri"/>
      <family val="2"/>
    </font>
    <font>
      <b/>
      <sz val="10"/>
      <color indexed="58"/>
      <name val="Calibri"/>
      <family val="2"/>
    </font>
    <font>
      <b/>
      <u/>
      <sz val="12"/>
      <color indexed="16"/>
      <name val="Calibri"/>
      <family val="2"/>
    </font>
    <font>
      <b/>
      <sz val="10"/>
      <color indexed="12"/>
      <name val="Calibri"/>
      <family val="2"/>
    </font>
    <font>
      <b/>
      <sz val="8"/>
      <color indexed="16"/>
      <name val="Calibri"/>
      <family val="2"/>
    </font>
    <font>
      <b/>
      <sz val="8"/>
      <color rgb="FFFF0000"/>
      <name val="Calibri"/>
      <family val="2"/>
    </font>
    <font>
      <sz val="8"/>
      <color theme="1"/>
      <name val="Calibri"/>
      <family val="2"/>
    </font>
    <font>
      <b/>
      <sz val="8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2" fontId="6" fillId="3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right" vertical="center"/>
    </xf>
    <xf numFmtId="2" fontId="9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tabSelected="1" workbookViewId="0"/>
  </sheetViews>
  <sheetFormatPr defaultRowHeight="10.7" customHeight="1" x14ac:dyDescent="0.15"/>
  <cols>
    <col min="1" max="2" width="8.7109375" style="1" customWidth="1"/>
    <col min="3" max="3" width="4.7109375" style="1" customWidth="1"/>
    <col min="4" max="10" width="7.7109375" style="1" customWidth="1"/>
    <col min="11" max="16384" width="9.140625" style="1"/>
  </cols>
  <sheetData>
    <row r="1" spans="1:10" ht="19.5" customHeight="1" x14ac:dyDescent="0.15">
      <c r="A1" s="2" t="s">
        <v>101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x14ac:dyDescent="0.15">
      <c r="A2" s="3" t="s">
        <v>102</v>
      </c>
      <c r="B2" s="3"/>
      <c r="C2" s="3"/>
      <c r="D2" s="3"/>
      <c r="E2" s="3"/>
      <c r="F2" s="3"/>
      <c r="G2" s="3"/>
      <c r="H2" s="3"/>
      <c r="I2" s="3"/>
      <c r="J2" s="3"/>
    </row>
    <row r="3" spans="1:10" ht="18" customHeight="1" x14ac:dyDescent="0.15">
      <c r="A3" s="4" t="s">
        <v>103</v>
      </c>
      <c r="B3" s="4"/>
      <c r="C3" s="4"/>
      <c r="D3" s="4"/>
      <c r="E3" s="4"/>
      <c r="F3" s="4"/>
      <c r="G3" s="4"/>
      <c r="H3" s="4"/>
      <c r="I3" s="4"/>
      <c r="J3" s="4"/>
    </row>
    <row r="4" spans="1:10" ht="15.75" customHeight="1" x14ac:dyDescent="0.15">
      <c r="A4" s="5" t="s">
        <v>104</v>
      </c>
      <c r="B4" s="5"/>
      <c r="C4" s="5"/>
      <c r="D4" s="5"/>
      <c r="E4" s="5"/>
      <c r="F4" s="5"/>
      <c r="G4" s="5"/>
      <c r="H4" s="5"/>
      <c r="I4" s="5"/>
      <c r="J4" s="5"/>
    </row>
    <row r="5" spans="1:10" ht="22.5" customHeight="1" x14ac:dyDescent="0.15">
      <c r="A5" s="6" t="s">
        <v>105</v>
      </c>
      <c r="B5" s="6" t="s">
        <v>106</v>
      </c>
      <c r="C5" s="6" t="s">
        <v>107</v>
      </c>
      <c r="D5" s="7" t="s">
        <v>108</v>
      </c>
      <c r="E5" s="7" t="s">
        <v>109</v>
      </c>
      <c r="F5" s="7" t="s">
        <v>110</v>
      </c>
      <c r="G5" s="7" t="s">
        <v>111</v>
      </c>
      <c r="H5" s="8" t="s">
        <v>112</v>
      </c>
      <c r="I5" s="8" t="s">
        <v>113</v>
      </c>
      <c r="J5" s="8" t="s">
        <v>114</v>
      </c>
    </row>
    <row r="6" spans="1:10" ht="10.7" customHeight="1" x14ac:dyDescent="0.15">
      <c r="A6" s="9" t="s">
        <v>0</v>
      </c>
      <c r="B6" s="9"/>
      <c r="C6" s="9"/>
      <c r="D6" s="10"/>
      <c r="E6" s="10"/>
      <c r="F6" s="10"/>
      <c r="G6" s="10"/>
      <c r="H6" s="11"/>
      <c r="I6" s="11"/>
      <c r="J6" s="11"/>
    </row>
    <row r="7" spans="1:10" ht="10.7" customHeight="1" x14ac:dyDescent="0.15">
      <c r="A7" s="12"/>
      <c r="B7" s="12" t="s">
        <v>1</v>
      </c>
      <c r="C7" s="12" t="s">
        <v>2</v>
      </c>
      <c r="D7" s="13">
        <v>0</v>
      </c>
      <c r="E7" s="13">
        <v>0</v>
      </c>
      <c r="F7" s="13">
        <v>0</v>
      </c>
      <c r="G7" s="13">
        <v>0</v>
      </c>
      <c r="H7" s="14">
        <v>0</v>
      </c>
      <c r="I7" s="14">
        <v>0</v>
      </c>
      <c r="J7" s="14">
        <v>0</v>
      </c>
    </row>
    <row r="8" spans="1:10" ht="10.7" customHeight="1" x14ac:dyDescent="0.15">
      <c r="A8" s="12"/>
      <c r="B8" s="12" t="s">
        <v>3</v>
      </c>
      <c r="C8" s="12" t="s">
        <v>4</v>
      </c>
      <c r="D8" s="13">
        <v>27</v>
      </c>
      <c r="E8" s="13">
        <v>0</v>
      </c>
      <c r="F8" s="13">
        <v>2</v>
      </c>
      <c r="G8" s="13">
        <v>25</v>
      </c>
      <c r="H8" s="14">
        <v>0</v>
      </c>
      <c r="I8" s="14">
        <v>212.12</v>
      </c>
      <c r="J8" s="14">
        <v>2448.5</v>
      </c>
    </row>
    <row r="9" spans="1:10" ht="10.7" customHeight="1" x14ac:dyDescent="0.15">
      <c r="A9" s="15" t="s">
        <v>5</v>
      </c>
      <c r="B9" s="15"/>
      <c r="C9" s="15"/>
      <c r="D9" s="16">
        <v>2644.38</v>
      </c>
      <c r="E9" s="16"/>
      <c r="F9" s="16"/>
      <c r="G9" s="16"/>
      <c r="H9" s="17">
        <f>SUM(H7:H8)</f>
        <v>0</v>
      </c>
      <c r="I9" s="17">
        <f>SUM(I7:I8)</f>
        <v>212.12</v>
      </c>
      <c r="J9" s="17">
        <f>SUM(J7:J8)</f>
        <v>2448.5</v>
      </c>
    </row>
    <row r="10" spans="1:10" ht="10.7" customHeight="1" x14ac:dyDescent="0.15">
      <c r="A10" s="9" t="s">
        <v>6</v>
      </c>
      <c r="B10" s="9"/>
      <c r="C10" s="9"/>
      <c r="D10" s="10"/>
      <c r="E10" s="10"/>
      <c r="F10" s="10"/>
      <c r="G10" s="10"/>
      <c r="H10" s="11"/>
      <c r="I10" s="11"/>
      <c r="J10" s="11"/>
    </row>
    <row r="11" spans="1:10" ht="10.7" customHeight="1" x14ac:dyDescent="0.15">
      <c r="A11" s="12"/>
      <c r="B11" s="12" t="s">
        <v>7</v>
      </c>
      <c r="C11" s="12" t="s">
        <v>8</v>
      </c>
      <c r="D11" s="13">
        <v>2</v>
      </c>
      <c r="E11" s="13">
        <v>60</v>
      </c>
      <c r="F11" s="13">
        <v>10</v>
      </c>
      <c r="G11" s="13">
        <v>52</v>
      </c>
      <c r="H11" s="14">
        <v>13237.8</v>
      </c>
      <c r="I11" s="14">
        <v>2369.7600000000002</v>
      </c>
      <c r="J11" s="14">
        <v>11472.76</v>
      </c>
    </row>
    <row r="12" spans="1:10" ht="10.7" customHeight="1" x14ac:dyDescent="0.15">
      <c r="A12" s="12"/>
      <c r="B12" s="12" t="s">
        <v>9</v>
      </c>
      <c r="C12" s="12" t="s">
        <v>10</v>
      </c>
      <c r="D12" s="13">
        <v>24</v>
      </c>
      <c r="E12" s="13">
        <v>50</v>
      </c>
      <c r="F12" s="13">
        <v>25</v>
      </c>
      <c r="G12" s="13">
        <v>49</v>
      </c>
      <c r="H12" s="14">
        <v>3144.03</v>
      </c>
      <c r="I12" s="14">
        <v>1776.39</v>
      </c>
      <c r="J12" s="14">
        <v>3077.84</v>
      </c>
    </row>
    <row r="13" spans="1:10" ht="10.7" customHeight="1" x14ac:dyDescent="0.15">
      <c r="A13" s="12"/>
      <c r="B13" s="12" t="s">
        <v>11</v>
      </c>
      <c r="C13" s="12" t="s">
        <v>12</v>
      </c>
      <c r="D13" s="13">
        <v>23</v>
      </c>
      <c r="E13" s="13">
        <v>56</v>
      </c>
      <c r="F13" s="13">
        <v>23</v>
      </c>
      <c r="G13" s="13">
        <v>56</v>
      </c>
      <c r="H13" s="14">
        <v>3197.85</v>
      </c>
      <c r="I13" s="14">
        <v>1489.12</v>
      </c>
      <c r="J13" s="14">
        <v>3197.85</v>
      </c>
    </row>
    <row r="14" spans="1:10" ht="10.7" customHeight="1" x14ac:dyDescent="0.15">
      <c r="A14" s="12"/>
      <c r="B14" s="12" t="s">
        <v>13</v>
      </c>
      <c r="C14" s="12" t="s">
        <v>14</v>
      </c>
      <c r="D14" s="13">
        <v>1</v>
      </c>
      <c r="E14" s="13">
        <v>28</v>
      </c>
      <c r="F14" s="13">
        <v>9</v>
      </c>
      <c r="G14" s="13">
        <v>20</v>
      </c>
      <c r="H14" s="14">
        <v>2836.96</v>
      </c>
      <c r="I14" s="14">
        <v>982.91</v>
      </c>
      <c r="J14" s="14">
        <v>2026.4</v>
      </c>
    </row>
    <row r="15" spans="1:10" ht="10.7" customHeight="1" x14ac:dyDescent="0.15">
      <c r="A15" s="12"/>
      <c r="B15" s="12" t="s">
        <v>15</v>
      </c>
      <c r="C15" s="12" t="s">
        <v>16</v>
      </c>
      <c r="D15" s="13">
        <v>0</v>
      </c>
      <c r="E15" s="13">
        <v>0</v>
      </c>
      <c r="F15" s="13">
        <v>0</v>
      </c>
      <c r="G15" s="13">
        <v>0</v>
      </c>
      <c r="H15" s="14">
        <v>0</v>
      </c>
      <c r="I15" s="14">
        <v>0</v>
      </c>
      <c r="J15" s="14">
        <v>0</v>
      </c>
    </row>
    <row r="16" spans="1:10" ht="10.7" customHeight="1" x14ac:dyDescent="0.15">
      <c r="A16" s="12"/>
      <c r="B16" s="12" t="s">
        <v>17</v>
      </c>
      <c r="C16" s="12" t="s">
        <v>4</v>
      </c>
      <c r="D16" s="13">
        <v>27</v>
      </c>
      <c r="E16" s="13">
        <v>140</v>
      </c>
      <c r="F16" s="13">
        <v>80</v>
      </c>
      <c r="G16" s="13">
        <v>87</v>
      </c>
      <c r="H16" s="14">
        <v>20330.8</v>
      </c>
      <c r="I16" s="14">
        <v>12328.35</v>
      </c>
      <c r="J16" s="14">
        <v>12599.04</v>
      </c>
    </row>
    <row r="17" spans="1:10" ht="10.7" customHeight="1" x14ac:dyDescent="0.15">
      <c r="A17" s="12"/>
      <c r="B17" s="12" t="s">
        <v>18</v>
      </c>
      <c r="C17" s="12" t="s">
        <v>12</v>
      </c>
      <c r="D17" s="13">
        <v>0</v>
      </c>
      <c r="E17" s="13">
        <v>0</v>
      </c>
      <c r="F17" s="13">
        <v>0</v>
      </c>
      <c r="G17" s="13">
        <v>0</v>
      </c>
      <c r="H17" s="14">
        <v>0</v>
      </c>
      <c r="I17" s="14">
        <v>0</v>
      </c>
      <c r="J17" s="14">
        <v>0</v>
      </c>
    </row>
    <row r="18" spans="1:10" ht="10.7" customHeight="1" x14ac:dyDescent="0.15">
      <c r="A18" s="12"/>
      <c r="B18" s="12" t="s">
        <v>19</v>
      </c>
      <c r="C18" s="12" t="s">
        <v>8</v>
      </c>
      <c r="D18" s="13">
        <v>8</v>
      </c>
      <c r="E18" s="13">
        <v>50</v>
      </c>
      <c r="F18" s="13">
        <v>49</v>
      </c>
      <c r="G18" s="13">
        <v>9</v>
      </c>
      <c r="H18" s="14">
        <v>8375</v>
      </c>
      <c r="I18" s="14">
        <v>8324.9599999999991</v>
      </c>
      <c r="J18" s="14">
        <v>1486.27</v>
      </c>
    </row>
    <row r="19" spans="1:10" ht="10.7" customHeight="1" x14ac:dyDescent="0.15">
      <c r="A19" s="12"/>
      <c r="B19" s="12" t="s">
        <v>20</v>
      </c>
      <c r="C19" s="12" t="s">
        <v>21</v>
      </c>
      <c r="D19" s="13">
        <v>44</v>
      </c>
      <c r="E19" s="13">
        <v>56</v>
      </c>
      <c r="F19" s="13">
        <v>44</v>
      </c>
      <c r="G19" s="13">
        <v>56</v>
      </c>
      <c r="H19" s="14">
        <v>5713.15</v>
      </c>
      <c r="I19" s="14">
        <v>5054.3100000000004</v>
      </c>
      <c r="J19" s="14">
        <v>5713.15</v>
      </c>
    </row>
    <row r="20" spans="1:10" ht="10.7" customHeight="1" x14ac:dyDescent="0.15">
      <c r="A20" s="12"/>
      <c r="B20" s="12" t="s">
        <v>22</v>
      </c>
      <c r="C20" s="12" t="s">
        <v>4</v>
      </c>
      <c r="D20" s="13">
        <v>26</v>
      </c>
      <c r="E20" s="13">
        <v>0</v>
      </c>
      <c r="F20" s="13">
        <v>5</v>
      </c>
      <c r="G20" s="13">
        <v>21</v>
      </c>
      <c r="H20" s="14">
        <v>0</v>
      </c>
      <c r="I20" s="14">
        <v>767.45</v>
      </c>
      <c r="J20" s="14">
        <v>3191.37</v>
      </c>
    </row>
    <row r="21" spans="1:10" ht="10.7" customHeight="1" x14ac:dyDescent="0.15">
      <c r="A21" s="12"/>
      <c r="B21" s="12" t="s">
        <v>23</v>
      </c>
      <c r="C21" s="12" t="s">
        <v>4</v>
      </c>
      <c r="D21" s="13">
        <v>3</v>
      </c>
      <c r="E21" s="13">
        <v>28</v>
      </c>
      <c r="F21" s="13">
        <v>22</v>
      </c>
      <c r="G21" s="13">
        <v>9</v>
      </c>
      <c r="H21" s="14">
        <v>5125.12</v>
      </c>
      <c r="I21" s="14">
        <v>4182.75</v>
      </c>
      <c r="J21" s="14">
        <v>1647.36</v>
      </c>
    </row>
    <row r="22" spans="1:10" ht="10.7" customHeight="1" x14ac:dyDescent="0.15">
      <c r="A22" s="12"/>
      <c r="B22" s="12" t="s">
        <v>24</v>
      </c>
      <c r="C22" s="12" t="s">
        <v>12</v>
      </c>
      <c r="D22" s="13">
        <v>0</v>
      </c>
      <c r="E22" s="13">
        <v>0</v>
      </c>
      <c r="F22" s="13">
        <v>0</v>
      </c>
      <c r="G22" s="13">
        <v>0</v>
      </c>
      <c r="H22" s="14">
        <v>0</v>
      </c>
      <c r="I22" s="14">
        <v>0</v>
      </c>
      <c r="J22" s="14">
        <v>0</v>
      </c>
    </row>
    <row r="23" spans="1:10" ht="10.7" customHeight="1" x14ac:dyDescent="0.15">
      <c r="A23" s="12"/>
      <c r="B23" s="12" t="s">
        <v>25</v>
      </c>
      <c r="C23" s="12" t="s">
        <v>8</v>
      </c>
      <c r="D23" s="13">
        <v>101</v>
      </c>
      <c r="E23" s="13">
        <v>200</v>
      </c>
      <c r="F23" s="13">
        <v>176</v>
      </c>
      <c r="G23" s="13">
        <v>125</v>
      </c>
      <c r="H23" s="14">
        <v>32333.61</v>
      </c>
      <c r="I23" s="14">
        <v>30506.47</v>
      </c>
      <c r="J23" s="14">
        <v>20017.29</v>
      </c>
    </row>
    <row r="24" spans="1:10" ht="10.7" customHeight="1" x14ac:dyDescent="0.15">
      <c r="A24" s="12"/>
      <c r="B24" s="12" t="s">
        <v>26</v>
      </c>
      <c r="C24" s="12" t="s">
        <v>27</v>
      </c>
      <c r="D24" s="13">
        <v>60</v>
      </c>
      <c r="E24" s="13">
        <v>0</v>
      </c>
      <c r="F24" s="13">
        <v>37</v>
      </c>
      <c r="G24" s="13">
        <v>23</v>
      </c>
      <c r="H24" s="14">
        <v>0</v>
      </c>
      <c r="I24" s="14">
        <v>6502.2</v>
      </c>
      <c r="J24" s="14">
        <v>3555.26</v>
      </c>
    </row>
    <row r="25" spans="1:10" ht="10.7" customHeight="1" x14ac:dyDescent="0.15">
      <c r="A25" s="12"/>
      <c r="B25" s="12" t="s">
        <v>28</v>
      </c>
      <c r="C25" s="12" t="s">
        <v>4</v>
      </c>
      <c r="D25" s="13">
        <v>58</v>
      </c>
      <c r="E25" s="13">
        <v>0</v>
      </c>
      <c r="F25" s="13">
        <v>27</v>
      </c>
      <c r="G25" s="13">
        <v>31</v>
      </c>
      <c r="H25" s="14">
        <v>0</v>
      </c>
      <c r="I25" s="14">
        <v>4956.1000000000004</v>
      </c>
      <c r="J25" s="14">
        <v>5112.2299999999996</v>
      </c>
    </row>
    <row r="26" spans="1:10" ht="10.7" customHeight="1" x14ac:dyDescent="0.15">
      <c r="A26" s="12"/>
      <c r="B26" s="12" t="s">
        <v>29</v>
      </c>
      <c r="C26" s="12" t="s">
        <v>30</v>
      </c>
      <c r="D26" s="13">
        <v>23</v>
      </c>
      <c r="E26" s="13">
        <v>84</v>
      </c>
      <c r="F26" s="13">
        <v>20</v>
      </c>
      <c r="G26" s="13">
        <v>87</v>
      </c>
      <c r="H26" s="14">
        <v>5174.2299999999996</v>
      </c>
      <c r="I26" s="14">
        <v>1291.98</v>
      </c>
      <c r="J26" s="14">
        <v>5343.59</v>
      </c>
    </row>
    <row r="27" spans="1:10" ht="10.7" customHeight="1" x14ac:dyDescent="0.15">
      <c r="A27" s="12"/>
      <c r="B27" s="12" t="s">
        <v>31</v>
      </c>
      <c r="C27" s="12" t="s">
        <v>4</v>
      </c>
      <c r="D27" s="13">
        <v>55</v>
      </c>
      <c r="E27" s="13">
        <v>84</v>
      </c>
      <c r="F27" s="13">
        <v>83</v>
      </c>
      <c r="G27" s="13">
        <v>56</v>
      </c>
      <c r="H27" s="14">
        <v>11588.55</v>
      </c>
      <c r="I27" s="14">
        <v>12572.48</v>
      </c>
      <c r="J27" s="14">
        <v>7720.71</v>
      </c>
    </row>
    <row r="28" spans="1:10" ht="10.7" customHeight="1" x14ac:dyDescent="0.15">
      <c r="A28" s="12"/>
      <c r="B28" s="12" t="s">
        <v>32</v>
      </c>
      <c r="C28" s="12" t="s">
        <v>33</v>
      </c>
      <c r="D28" s="13">
        <v>40</v>
      </c>
      <c r="E28" s="13">
        <v>120</v>
      </c>
      <c r="F28" s="13">
        <v>74</v>
      </c>
      <c r="G28" s="13">
        <v>86</v>
      </c>
      <c r="H28" s="14">
        <v>25255.56</v>
      </c>
      <c r="I28" s="14">
        <v>17315.57</v>
      </c>
      <c r="J28" s="14">
        <v>18086.53</v>
      </c>
    </row>
    <row r="29" spans="1:10" ht="10.7" customHeight="1" x14ac:dyDescent="0.15">
      <c r="A29" s="12"/>
      <c r="B29" s="12" t="s">
        <v>34</v>
      </c>
      <c r="C29" s="12" t="s">
        <v>35</v>
      </c>
      <c r="D29" s="13">
        <v>0</v>
      </c>
      <c r="E29" s="13">
        <v>0</v>
      </c>
      <c r="F29" s="13">
        <v>0</v>
      </c>
      <c r="G29" s="13">
        <v>0</v>
      </c>
      <c r="H29" s="14">
        <v>0</v>
      </c>
      <c r="I29" s="14">
        <v>0</v>
      </c>
      <c r="J29" s="14">
        <v>0</v>
      </c>
    </row>
    <row r="30" spans="1:10" ht="10.7" customHeight="1" x14ac:dyDescent="0.15">
      <c r="A30" s="12"/>
      <c r="B30" s="12" t="s">
        <v>36</v>
      </c>
      <c r="C30" s="12" t="s">
        <v>37</v>
      </c>
      <c r="D30" s="13">
        <v>0</v>
      </c>
      <c r="E30" s="13">
        <v>0</v>
      </c>
      <c r="F30" s="13">
        <v>0</v>
      </c>
      <c r="G30" s="13">
        <v>0</v>
      </c>
      <c r="H30" s="14">
        <v>0</v>
      </c>
      <c r="I30" s="14">
        <v>0</v>
      </c>
      <c r="J30" s="14">
        <v>0</v>
      </c>
    </row>
    <row r="31" spans="1:10" ht="10.7" customHeight="1" x14ac:dyDescent="0.15">
      <c r="A31" s="12"/>
      <c r="B31" s="12" t="s">
        <v>38</v>
      </c>
      <c r="C31" s="12" t="s">
        <v>4</v>
      </c>
      <c r="D31" s="13">
        <v>31</v>
      </c>
      <c r="E31" s="13">
        <v>0</v>
      </c>
      <c r="F31" s="13">
        <v>3</v>
      </c>
      <c r="G31" s="13">
        <v>28</v>
      </c>
      <c r="H31" s="14">
        <v>0</v>
      </c>
      <c r="I31" s="14">
        <v>471.78</v>
      </c>
      <c r="J31" s="14">
        <v>3832.65</v>
      </c>
    </row>
    <row r="32" spans="1:10" ht="10.7" customHeight="1" x14ac:dyDescent="0.15">
      <c r="A32" s="12"/>
      <c r="B32" s="12" t="s">
        <v>39</v>
      </c>
      <c r="C32" s="12" t="s">
        <v>40</v>
      </c>
      <c r="D32" s="13">
        <v>0</v>
      </c>
      <c r="E32" s="13">
        <v>0</v>
      </c>
      <c r="F32" s="13">
        <v>0</v>
      </c>
      <c r="G32" s="13">
        <v>0</v>
      </c>
      <c r="H32" s="14">
        <v>0</v>
      </c>
      <c r="I32" s="14">
        <v>0</v>
      </c>
      <c r="J32" s="14">
        <v>0</v>
      </c>
    </row>
    <row r="33" spans="1:10" ht="10.7" customHeight="1" x14ac:dyDescent="0.15">
      <c r="A33" s="12"/>
      <c r="B33" s="12" t="s">
        <v>39</v>
      </c>
      <c r="C33" s="12" t="s">
        <v>41</v>
      </c>
      <c r="D33" s="13">
        <v>41</v>
      </c>
      <c r="E33" s="13">
        <v>0</v>
      </c>
      <c r="F33" s="13">
        <v>16</v>
      </c>
      <c r="G33" s="13">
        <v>25</v>
      </c>
      <c r="H33" s="14">
        <v>0</v>
      </c>
      <c r="I33" s="14">
        <v>1904.22</v>
      </c>
      <c r="J33" s="14">
        <v>2753.74</v>
      </c>
    </row>
    <row r="34" spans="1:10" ht="10.7" customHeight="1" x14ac:dyDescent="0.15">
      <c r="A34" s="12"/>
      <c r="B34" s="12" t="s">
        <v>42</v>
      </c>
      <c r="C34" s="12" t="s">
        <v>43</v>
      </c>
      <c r="D34" s="13">
        <v>0</v>
      </c>
      <c r="E34" s="13">
        <v>0</v>
      </c>
      <c r="F34" s="13">
        <v>0</v>
      </c>
      <c r="G34" s="13">
        <v>0</v>
      </c>
      <c r="H34" s="14">
        <v>0</v>
      </c>
      <c r="I34" s="14">
        <v>0</v>
      </c>
      <c r="J34" s="14">
        <v>0</v>
      </c>
    </row>
    <row r="35" spans="1:10" ht="10.7" customHeight="1" x14ac:dyDescent="0.15">
      <c r="A35" s="12"/>
      <c r="B35" s="12" t="s">
        <v>44</v>
      </c>
      <c r="C35" s="12" t="s">
        <v>21</v>
      </c>
      <c r="D35" s="13">
        <v>0</v>
      </c>
      <c r="E35" s="13">
        <v>0</v>
      </c>
      <c r="F35" s="13">
        <v>0</v>
      </c>
      <c r="G35" s="13">
        <v>0</v>
      </c>
      <c r="H35" s="14">
        <v>0</v>
      </c>
      <c r="I35" s="14">
        <v>0</v>
      </c>
      <c r="J35" s="14">
        <v>0</v>
      </c>
    </row>
    <row r="36" spans="1:10" ht="10.7" customHeight="1" x14ac:dyDescent="0.15">
      <c r="A36" s="12"/>
      <c r="B36" s="12" t="s">
        <v>45</v>
      </c>
      <c r="C36" s="12" t="s">
        <v>46</v>
      </c>
      <c r="D36" s="13">
        <v>47</v>
      </c>
      <c r="E36" s="13">
        <v>0</v>
      </c>
      <c r="F36" s="13">
        <v>34</v>
      </c>
      <c r="G36" s="13">
        <v>13</v>
      </c>
      <c r="H36" s="14">
        <v>0</v>
      </c>
      <c r="I36" s="14">
        <v>3876.71</v>
      </c>
      <c r="J36" s="14">
        <v>1334.54</v>
      </c>
    </row>
    <row r="37" spans="1:10" ht="10.7" customHeight="1" x14ac:dyDescent="0.15">
      <c r="A37" s="12"/>
      <c r="B37" s="12" t="s">
        <v>47</v>
      </c>
      <c r="C37" s="12" t="s">
        <v>48</v>
      </c>
      <c r="D37" s="13">
        <v>35</v>
      </c>
      <c r="E37" s="13">
        <v>50</v>
      </c>
      <c r="F37" s="13">
        <v>33</v>
      </c>
      <c r="G37" s="13">
        <v>52</v>
      </c>
      <c r="H37" s="14">
        <v>3579.5</v>
      </c>
      <c r="I37" s="14">
        <v>2410.73</v>
      </c>
      <c r="J37" s="14">
        <v>3708.93</v>
      </c>
    </row>
    <row r="38" spans="1:10" ht="10.7" customHeight="1" x14ac:dyDescent="0.15">
      <c r="A38" s="12"/>
      <c r="B38" s="12" t="s">
        <v>49</v>
      </c>
      <c r="C38" s="12" t="s">
        <v>46</v>
      </c>
      <c r="D38" s="13">
        <v>0</v>
      </c>
      <c r="E38" s="13">
        <v>0</v>
      </c>
      <c r="F38" s="13">
        <v>0</v>
      </c>
      <c r="G38" s="13">
        <v>0</v>
      </c>
      <c r="H38" s="14">
        <v>0</v>
      </c>
      <c r="I38" s="14">
        <v>0</v>
      </c>
      <c r="J38" s="14">
        <v>0</v>
      </c>
    </row>
    <row r="39" spans="1:10" ht="10.7" customHeight="1" x14ac:dyDescent="0.15">
      <c r="A39" s="12"/>
      <c r="B39" s="12" t="s">
        <v>50</v>
      </c>
      <c r="C39" s="12" t="s">
        <v>51</v>
      </c>
      <c r="D39" s="13">
        <v>0</v>
      </c>
      <c r="E39" s="13">
        <v>0</v>
      </c>
      <c r="F39" s="13">
        <v>0</v>
      </c>
      <c r="G39" s="13">
        <v>0</v>
      </c>
      <c r="H39" s="14">
        <v>0</v>
      </c>
      <c r="I39" s="14">
        <v>0</v>
      </c>
      <c r="J39" s="14">
        <v>0</v>
      </c>
    </row>
    <row r="40" spans="1:10" ht="10.7" customHeight="1" x14ac:dyDescent="0.15">
      <c r="A40" s="12"/>
      <c r="B40" s="12" t="s">
        <v>52</v>
      </c>
      <c r="C40" s="12" t="s">
        <v>53</v>
      </c>
      <c r="D40" s="13">
        <v>61</v>
      </c>
      <c r="E40" s="13">
        <v>0</v>
      </c>
      <c r="F40" s="13">
        <v>39</v>
      </c>
      <c r="G40" s="13">
        <v>22</v>
      </c>
      <c r="H40" s="14">
        <v>0</v>
      </c>
      <c r="I40" s="14">
        <v>2935.36</v>
      </c>
      <c r="J40" s="14">
        <v>1530.54</v>
      </c>
    </row>
    <row r="41" spans="1:10" ht="10.7" customHeight="1" x14ac:dyDescent="0.15">
      <c r="A41" s="12"/>
      <c r="B41" s="12" t="s">
        <v>54</v>
      </c>
      <c r="C41" s="12" t="s">
        <v>55</v>
      </c>
      <c r="D41" s="13">
        <v>24</v>
      </c>
      <c r="E41" s="13">
        <v>25</v>
      </c>
      <c r="F41" s="13">
        <v>20</v>
      </c>
      <c r="G41" s="13">
        <v>29</v>
      </c>
      <c r="H41" s="14">
        <v>2103.5</v>
      </c>
      <c r="I41" s="14">
        <v>1774.25</v>
      </c>
      <c r="J41" s="14">
        <v>2423.23</v>
      </c>
    </row>
    <row r="42" spans="1:10" ht="10.7" customHeight="1" x14ac:dyDescent="0.15">
      <c r="A42" s="12"/>
      <c r="B42" s="12" t="s">
        <v>56</v>
      </c>
      <c r="C42" s="12" t="s">
        <v>55</v>
      </c>
      <c r="D42" s="13">
        <v>1</v>
      </c>
      <c r="E42" s="13">
        <v>0</v>
      </c>
      <c r="F42" s="13">
        <v>0</v>
      </c>
      <c r="G42" s="13">
        <v>1</v>
      </c>
      <c r="H42" s="14">
        <v>0</v>
      </c>
      <c r="I42" s="14">
        <v>0</v>
      </c>
      <c r="J42" s="14">
        <v>63.63</v>
      </c>
    </row>
    <row r="43" spans="1:10" ht="10.7" customHeight="1" x14ac:dyDescent="0.15">
      <c r="A43" s="12"/>
      <c r="B43" s="12" t="s">
        <v>57</v>
      </c>
      <c r="C43" s="12" t="s">
        <v>58</v>
      </c>
      <c r="D43" s="13">
        <v>49</v>
      </c>
      <c r="E43" s="13">
        <v>0</v>
      </c>
      <c r="F43" s="13">
        <v>28</v>
      </c>
      <c r="G43" s="13">
        <v>21</v>
      </c>
      <c r="H43" s="14">
        <v>0</v>
      </c>
      <c r="I43" s="14">
        <v>2269.77</v>
      </c>
      <c r="J43" s="14">
        <v>1509.02</v>
      </c>
    </row>
    <row r="44" spans="1:10" ht="10.7" customHeight="1" x14ac:dyDescent="0.15">
      <c r="A44" s="12"/>
      <c r="B44" s="12" t="s">
        <v>59</v>
      </c>
      <c r="C44" s="12" t="s">
        <v>60</v>
      </c>
      <c r="D44" s="13">
        <v>0</v>
      </c>
      <c r="E44" s="13">
        <v>0</v>
      </c>
      <c r="F44" s="13">
        <v>0</v>
      </c>
      <c r="G44" s="13">
        <v>0</v>
      </c>
      <c r="H44" s="14">
        <v>0</v>
      </c>
      <c r="I44" s="14">
        <v>0</v>
      </c>
      <c r="J44" s="14">
        <v>0</v>
      </c>
    </row>
    <row r="45" spans="1:10" ht="10.7" customHeight="1" x14ac:dyDescent="0.15">
      <c r="A45" s="12"/>
      <c r="B45" s="12" t="s">
        <v>61</v>
      </c>
      <c r="C45" s="12" t="s">
        <v>62</v>
      </c>
      <c r="D45" s="13">
        <v>0</v>
      </c>
      <c r="E45" s="13">
        <v>0</v>
      </c>
      <c r="F45" s="13">
        <v>0</v>
      </c>
      <c r="G45" s="13">
        <v>0</v>
      </c>
      <c r="H45" s="14">
        <v>0</v>
      </c>
      <c r="I45" s="14">
        <v>0</v>
      </c>
      <c r="J45" s="14">
        <v>0</v>
      </c>
    </row>
    <row r="46" spans="1:10" ht="10.7" customHeight="1" x14ac:dyDescent="0.15">
      <c r="A46" s="12"/>
      <c r="B46" s="12" t="s">
        <v>63</v>
      </c>
      <c r="C46" s="12" t="s">
        <v>8</v>
      </c>
      <c r="D46" s="13">
        <v>39</v>
      </c>
      <c r="E46" s="13">
        <v>0</v>
      </c>
      <c r="F46" s="13">
        <v>7</v>
      </c>
      <c r="G46" s="13">
        <v>32</v>
      </c>
      <c r="H46" s="14">
        <v>0</v>
      </c>
      <c r="I46" s="14">
        <v>1524.55</v>
      </c>
      <c r="J46" s="14">
        <v>6517.12</v>
      </c>
    </row>
    <row r="47" spans="1:10" ht="10.7" customHeight="1" x14ac:dyDescent="0.15">
      <c r="A47" s="12"/>
      <c r="B47" s="12" t="s">
        <v>64</v>
      </c>
      <c r="C47" s="12" t="s">
        <v>8</v>
      </c>
      <c r="D47" s="13">
        <v>26</v>
      </c>
      <c r="E47" s="13">
        <v>0</v>
      </c>
      <c r="F47" s="13">
        <v>8</v>
      </c>
      <c r="G47" s="13">
        <v>18</v>
      </c>
      <c r="H47" s="14">
        <v>0</v>
      </c>
      <c r="I47" s="14">
        <v>1862.3</v>
      </c>
      <c r="J47" s="14">
        <v>3971.34</v>
      </c>
    </row>
    <row r="48" spans="1:10" ht="10.7" customHeight="1" x14ac:dyDescent="0.15">
      <c r="A48" s="12"/>
      <c r="B48" s="12" t="s">
        <v>65</v>
      </c>
      <c r="C48" s="12" t="s">
        <v>12</v>
      </c>
      <c r="D48" s="13">
        <v>24</v>
      </c>
      <c r="E48" s="13">
        <v>0</v>
      </c>
      <c r="F48" s="13">
        <v>1</v>
      </c>
      <c r="G48" s="13">
        <v>23</v>
      </c>
      <c r="H48" s="14">
        <v>0</v>
      </c>
      <c r="I48" s="14">
        <v>153.41999999999999</v>
      </c>
      <c r="J48" s="14">
        <v>2966.12</v>
      </c>
    </row>
    <row r="49" spans="1:10" ht="10.7" customHeight="1" x14ac:dyDescent="0.15">
      <c r="A49" s="12"/>
      <c r="B49" s="12" t="s">
        <v>66</v>
      </c>
      <c r="C49" s="12" t="s">
        <v>67</v>
      </c>
      <c r="D49" s="13">
        <v>12</v>
      </c>
      <c r="E49" s="13">
        <v>100</v>
      </c>
      <c r="F49" s="13">
        <v>40</v>
      </c>
      <c r="G49" s="13">
        <v>72</v>
      </c>
      <c r="H49" s="14">
        <v>9794</v>
      </c>
      <c r="I49" s="14">
        <v>4140.8100000000004</v>
      </c>
      <c r="J49" s="14">
        <v>7023.27</v>
      </c>
    </row>
    <row r="50" spans="1:10" ht="10.7" customHeight="1" x14ac:dyDescent="0.15">
      <c r="A50" s="12"/>
      <c r="B50" s="12" t="s">
        <v>68</v>
      </c>
      <c r="C50" s="12" t="s">
        <v>4</v>
      </c>
      <c r="D50" s="13">
        <v>68</v>
      </c>
      <c r="E50" s="13">
        <v>350</v>
      </c>
      <c r="F50" s="13">
        <v>203</v>
      </c>
      <c r="G50" s="13">
        <v>215</v>
      </c>
      <c r="H50" s="14">
        <v>82978</v>
      </c>
      <c r="I50" s="14">
        <v>51719.12</v>
      </c>
      <c r="J50" s="14">
        <v>50936.639999999999</v>
      </c>
    </row>
    <row r="51" spans="1:10" ht="10.7" customHeight="1" x14ac:dyDescent="0.15">
      <c r="A51" s="12"/>
      <c r="B51" s="12" t="s">
        <v>69</v>
      </c>
      <c r="C51" s="12" t="s">
        <v>12</v>
      </c>
      <c r="D51" s="13">
        <v>100</v>
      </c>
      <c r="E51" s="13">
        <v>70</v>
      </c>
      <c r="F51" s="13">
        <v>70</v>
      </c>
      <c r="G51" s="13">
        <v>100</v>
      </c>
      <c r="H51" s="14">
        <v>10637.9</v>
      </c>
      <c r="I51" s="14">
        <v>11469.71</v>
      </c>
      <c r="J51" s="14">
        <v>15170.65</v>
      </c>
    </row>
    <row r="52" spans="1:10" ht="10.7" customHeight="1" x14ac:dyDescent="0.15">
      <c r="A52" s="12"/>
      <c r="B52" s="12" t="s">
        <v>70</v>
      </c>
      <c r="C52" s="12" t="s">
        <v>12</v>
      </c>
      <c r="D52" s="13">
        <v>0</v>
      </c>
      <c r="E52" s="13">
        <v>0</v>
      </c>
      <c r="F52" s="13">
        <v>0</v>
      </c>
      <c r="G52" s="13">
        <v>0</v>
      </c>
      <c r="H52" s="14">
        <v>0</v>
      </c>
      <c r="I52" s="14">
        <v>0</v>
      </c>
      <c r="J52" s="14">
        <v>0</v>
      </c>
    </row>
    <row r="53" spans="1:10" ht="10.7" customHeight="1" x14ac:dyDescent="0.15">
      <c r="A53" s="12"/>
      <c r="B53" s="12" t="s">
        <v>71</v>
      </c>
      <c r="C53" s="12" t="s">
        <v>8</v>
      </c>
      <c r="D53" s="13">
        <v>0</v>
      </c>
      <c r="E53" s="13">
        <v>600</v>
      </c>
      <c r="F53" s="13">
        <v>350</v>
      </c>
      <c r="G53" s="13">
        <v>250</v>
      </c>
      <c r="H53" s="14">
        <v>111027.15</v>
      </c>
      <c r="I53" s="14">
        <v>70249.08</v>
      </c>
      <c r="J53" s="14">
        <v>46593.45</v>
      </c>
    </row>
    <row r="54" spans="1:10" ht="10.7" customHeight="1" x14ac:dyDescent="0.15">
      <c r="A54" s="12"/>
      <c r="B54" s="12" t="s">
        <v>72</v>
      </c>
      <c r="C54" s="12" t="s">
        <v>8</v>
      </c>
      <c r="D54" s="13">
        <v>29</v>
      </c>
      <c r="E54" s="13">
        <v>150</v>
      </c>
      <c r="F54" s="13">
        <v>108</v>
      </c>
      <c r="G54" s="13">
        <v>71</v>
      </c>
      <c r="H54" s="14">
        <v>25632</v>
      </c>
      <c r="I54" s="14">
        <v>19104.59</v>
      </c>
      <c r="J54" s="14">
        <v>12132.48</v>
      </c>
    </row>
    <row r="55" spans="1:10" ht="10.7" customHeight="1" x14ac:dyDescent="0.15">
      <c r="A55" s="12"/>
      <c r="B55" s="12" t="s">
        <v>73</v>
      </c>
      <c r="C55" s="12" t="s">
        <v>4</v>
      </c>
      <c r="D55" s="13">
        <v>10</v>
      </c>
      <c r="E55" s="13">
        <v>28</v>
      </c>
      <c r="F55" s="13">
        <v>20</v>
      </c>
      <c r="G55" s="13">
        <v>18</v>
      </c>
      <c r="H55" s="14">
        <v>4425.3999999999996</v>
      </c>
      <c r="I55" s="14">
        <v>3379.69</v>
      </c>
      <c r="J55" s="14">
        <v>2844.9</v>
      </c>
    </row>
    <row r="56" spans="1:10" ht="10.7" customHeight="1" x14ac:dyDescent="0.15">
      <c r="A56" s="12"/>
      <c r="B56" s="12" t="s">
        <v>74</v>
      </c>
      <c r="C56" s="12" t="s">
        <v>21</v>
      </c>
      <c r="D56" s="13">
        <v>22</v>
      </c>
      <c r="E56" s="13">
        <v>0</v>
      </c>
      <c r="F56" s="13">
        <v>15</v>
      </c>
      <c r="G56" s="13">
        <v>7</v>
      </c>
      <c r="H56" s="14">
        <v>0</v>
      </c>
      <c r="I56" s="14">
        <v>2380.38</v>
      </c>
      <c r="J56" s="14">
        <v>1148.9100000000001</v>
      </c>
    </row>
    <row r="57" spans="1:10" ht="10.7" customHeight="1" x14ac:dyDescent="0.15">
      <c r="A57" s="12"/>
      <c r="B57" s="12" t="s">
        <v>75</v>
      </c>
      <c r="C57" s="12" t="s">
        <v>12</v>
      </c>
      <c r="D57" s="13">
        <v>0</v>
      </c>
      <c r="E57" s="13">
        <v>56</v>
      </c>
      <c r="F57" s="13">
        <v>5</v>
      </c>
      <c r="G57" s="13">
        <v>51</v>
      </c>
      <c r="H57" s="14">
        <v>8510.32</v>
      </c>
      <c r="I57" s="14">
        <v>821.15</v>
      </c>
      <c r="J57" s="14">
        <v>7750.47</v>
      </c>
    </row>
    <row r="58" spans="1:10" ht="10.7" customHeight="1" x14ac:dyDescent="0.15">
      <c r="A58" s="12"/>
      <c r="B58" s="12" t="s">
        <v>76</v>
      </c>
      <c r="C58" s="12" t="s">
        <v>77</v>
      </c>
      <c r="D58" s="13">
        <v>0</v>
      </c>
      <c r="E58" s="13">
        <v>0</v>
      </c>
      <c r="F58" s="13">
        <v>0</v>
      </c>
      <c r="G58" s="13">
        <v>0</v>
      </c>
      <c r="H58" s="14">
        <v>0</v>
      </c>
      <c r="I58" s="14">
        <v>0</v>
      </c>
      <c r="J58" s="14">
        <v>0</v>
      </c>
    </row>
    <row r="59" spans="1:10" ht="10.7" customHeight="1" x14ac:dyDescent="0.15">
      <c r="A59" s="12"/>
      <c r="B59" s="12" t="s">
        <v>78</v>
      </c>
      <c r="C59" s="12" t="s">
        <v>4</v>
      </c>
      <c r="D59" s="13">
        <v>46</v>
      </c>
      <c r="E59" s="13">
        <v>28</v>
      </c>
      <c r="F59" s="13">
        <v>54</v>
      </c>
      <c r="G59" s="13">
        <v>20</v>
      </c>
      <c r="H59" s="14">
        <v>4860.5200000000004</v>
      </c>
      <c r="I59" s="14">
        <v>9905.65</v>
      </c>
      <c r="J59" s="14">
        <v>3471.8</v>
      </c>
    </row>
    <row r="60" spans="1:10" ht="10.7" customHeight="1" x14ac:dyDescent="0.15">
      <c r="A60" s="12"/>
      <c r="B60" s="12" t="s">
        <v>79</v>
      </c>
      <c r="C60" s="12" t="s">
        <v>8</v>
      </c>
      <c r="D60" s="13">
        <v>60</v>
      </c>
      <c r="E60" s="13">
        <v>0</v>
      </c>
      <c r="F60" s="13">
        <v>36</v>
      </c>
      <c r="G60" s="13">
        <v>24</v>
      </c>
      <c r="H60" s="14">
        <v>0</v>
      </c>
      <c r="I60" s="14">
        <v>5231.43</v>
      </c>
      <c r="J60" s="14">
        <v>3172.39</v>
      </c>
    </row>
    <row r="61" spans="1:10" ht="10.7" customHeight="1" x14ac:dyDescent="0.15">
      <c r="A61" s="12"/>
      <c r="B61" s="12" t="s">
        <v>80</v>
      </c>
      <c r="C61" s="12" t="s">
        <v>8</v>
      </c>
      <c r="D61" s="13">
        <v>60</v>
      </c>
      <c r="E61" s="13">
        <v>0</v>
      </c>
      <c r="F61" s="13">
        <v>4</v>
      </c>
      <c r="G61" s="13">
        <v>56</v>
      </c>
      <c r="H61" s="14">
        <v>0</v>
      </c>
      <c r="I61" s="14">
        <v>868.56</v>
      </c>
      <c r="J61" s="14">
        <v>11404.96</v>
      </c>
    </row>
    <row r="62" spans="1:10" ht="10.7" customHeight="1" x14ac:dyDescent="0.15">
      <c r="A62" s="12"/>
      <c r="B62" s="12" t="s">
        <v>81</v>
      </c>
      <c r="C62" s="12" t="s">
        <v>82</v>
      </c>
      <c r="D62" s="13">
        <v>0</v>
      </c>
      <c r="E62" s="13">
        <v>0</v>
      </c>
      <c r="F62" s="13">
        <v>0</v>
      </c>
      <c r="G62" s="13">
        <v>0</v>
      </c>
      <c r="H62" s="14">
        <v>0</v>
      </c>
      <c r="I62" s="14">
        <v>0</v>
      </c>
      <c r="J62" s="14">
        <v>0</v>
      </c>
    </row>
    <row r="63" spans="1:10" ht="10.7" customHeight="1" x14ac:dyDescent="0.15">
      <c r="A63" s="12"/>
      <c r="B63" s="12" t="s">
        <v>83</v>
      </c>
      <c r="C63" s="12" t="s">
        <v>12</v>
      </c>
      <c r="D63" s="13">
        <v>0</v>
      </c>
      <c r="E63" s="13">
        <v>0</v>
      </c>
      <c r="F63" s="13">
        <v>0</v>
      </c>
      <c r="G63" s="13">
        <v>0</v>
      </c>
      <c r="H63" s="14">
        <v>0</v>
      </c>
      <c r="I63" s="14">
        <v>0</v>
      </c>
      <c r="J63" s="14">
        <v>0</v>
      </c>
    </row>
    <row r="64" spans="1:10" ht="10.7" customHeight="1" x14ac:dyDescent="0.15">
      <c r="A64" s="12"/>
      <c r="B64" s="12" t="s">
        <v>84</v>
      </c>
      <c r="C64" s="12" t="s">
        <v>62</v>
      </c>
      <c r="D64" s="13">
        <v>119</v>
      </c>
      <c r="E64" s="13">
        <v>168</v>
      </c>
      <c r="F64" s="13">
        <v>165</v>
      </c>
      <c r="G64" s="13">
        <v>122</v>
      </c>
      <c r="H64" s="14">
        <v>22637.66</v>
      </c>
      <c r="I64" s="14">
        <v>24920.93</v>
      </c>
      <c r="J64" s="14">
        <v>16439.25</v>
      </c>
    </row>
    <row r="65" spans="1:10" ht="10.7" customHeight="1" x14ac:dyDescent="0.15">
      <c r="A65" s="12"/>
      <c r="B65" s="12" t="s">
        <v>85</v>
      </c>
      <c r="C65" s="12" t="s">
        <v>60</v>
      </c>
      <c r="D65" s="13">
        <v>14</v>
      </c>
      <c r="E65" s="13">
        <v>0</v>
      </c>
      <c r="F65" s="13">
        <v>1</v>
      </c>
      <c r="G65" s="13">
        <v>13</v>
      </c>
      <c r="H65" s="14">
        <v>0</v>
      </c>
      <c r="I65" s="14">
        <v>313.38</v>
      </c>
      <c r="J65" s="14">
        <v>3865.16</v>
      </c>
    </row>
    <row r="66" spans="1:10" ht="10.7" customHeight="1" x14ac:dyDescent="0.15">
      <c r="A66" s="12"/>
      <c r="B66" s="12" t="s">
        <v>86</v>
      </c>
      <c r="C66" s="12" t="s">
        <v>60</v>
      </c>
      <c r="D66" s="13">
        <v>0</v>
      </c>
      <c r="E66" s="13">
        <v>0</v>
      </c>
      <c r="F66" s="13">
        <v>0</v>
      </c>
      <c r="G66" s="13">
        <v>0</v>
      </c>
      <c r="H66" s="14">
        <v>0</v>
      </c>
      <c r="I66" s="14">
        <v>0</v>
      </c>
      <c r="J66" s="14">
        <v>0</v>
      </c>
    </row>
    <row r="67" spans="1:10" ht="10.7" customHeight="1" x14ac:dyDescent="0.15">
      <c r="A67" s="12"/>
      <c r="B67" s="12" t="s">
        <v>87</v>
      </c>
      <c r="C67" s="12" t="s">
        <v>21</v>
      </c>
      <c r="D67" s="13">
        <v>38</v>
      </c>
      <c r="E67" s="13">
        <v>0</v>
      </c>
      <c r="F67" s="13">
        <v>9</v>
      </c>
      <c r="G67" s="13">
        <v>29</v>
      </c>
      <c r="H67" s="14">
        <v>0</v>
      </c>
      <c r="I67" s="14">
        <v>1615.52</v>
      </c>
      <c r="J67" s="14">
        <v>4857.5</v>
      </c>
    </row>
    <row r="68" spans="1:10" ht="10.7" customHeight="1" x14ac:dyDescent="0.15">
      <c r="A68" s="12"/>
      <c r="B68" s="12" t="s">
        <v>88</v>
      </c>
      <c r="C68" s="12" t="s">
        <v>67</v>
      </c>
      <c r="D68" s="13">
        <v>0</v>
      </c>
      <c r="E68" s="13">
        <v>0</v>
      </c>
      <c r="F68" s="13">
        <v>0</v>
      </c>
      <c r="G68" s="13">
        <v>0</v>
      </c>
      <c r="H68" s="14">
        <v>0</v>
      </c>
      <c r="I68" s="14">
        <v>0</v>
      </c>
      <c r="J68" s="14">
        <v>0</v>
      </c>
    </row>
    <row r="69" spans="1:10" ht="10.7" customHeight="1" x14ac:dyDescent="0.15">
      <c r="A69" s="12"/>
      <c r="B69" s="12" t="s">
        <v>89</v>
      </c>
      <c r="C69" s="12" t="s">
        <v>90</v>
      </c>
      <c r="D69" s="13">
        <v>0</v>
      </c>
      <c r="E69" s="13">
        <v>0</v>
      </c>
      <c r="F69" s="13">
        <v>0</v>
      </c>
      <c r="G69" s="13">
        <v>0</v>
      </c>
      <c r="H69" s="14">
        <v>0</v>
      </c>
      <c r="I69" s="14">
        <v>0</v>
      </c>
      <c r="J69" s="14">
        <v>0</v>
      </c>
    </row>
    <row r="70" spans="1:10" ht="10.7" customHeight="1" x14ac:dyDescent="0.15">
      <c r="A70" s="12"/>
      <c r="B70" s="12" t="s">
        <v>91</v>
      </c>
      <c r="C70" s="12" t="s">
        <v>4</v>
      </c>
      <c r="D70" s="13">
        <v>45</v>
      </c>
      <c r="E70" s="13">
        <v>140</v>
      </c>
      <c r="F70" s="13">
        <v>115</v>
      </c>
      <c r="G70" s="13">
        <v>70</v>
      </c>
      <c r="H70" s="14">
        <v>20212.009999999998</v>
      </c>
      <c r="I70" s="14">
        <v>18303.689999999999</v>
      </c>
      <c r="J70" s="14">
        <v>10113.61</v>
      </c>
    </row>
    <row r="71" spans="1:10" ht="10.7" customHeight="1" x14ac:dyDescent="0.15">
      <c r="A71" s="12"/>
      <c r="B71" s="12" t="s">
        <v>92</v>
      </c>
      <c r="C71" s="12" t="s">
        <v>8</v>
      </c>
      <c r="D71" s="13">
        <v>76</v>
      </c>
      <c r="E71" s="13">
        <v>100</v>
      </c>
      <c r="F71" s="13">
        <v>118</v>
      </c>
      <c r="G71" s="13">
        <v>58</v>
      </c>
      <c r="H71" s="14">
        <v>16838.23</v>
      </c>
      <c r="I71" s="14">
        <v>20835.009999999998</v>
      </c>
      <c r="J71" s="14">
        <v>9657.15</v>
      </c>
    </row>
    <row r="72" spans="1:10" ht="10.7" customHeight="1" x14ac:dyDescent="0.15">
      <c r="A72" s="12"/>
      <c r="B72" s="12" t="s">
        <v>93</v>
      </c>
      <c r="C72" s="12" t="s">
        <v>94</v>
      </c>
      <c r="D72" s="13">
        <v>2</v>
      </c>
      <c r="E72" s="13">
        <v>0</v>
      </c>
      <c r="F72" s="13">
        <v>0</v>
      </c>
      <c r="G72" s="13">
        <v>2</v>
      </c>
      <c r="H72" s="14">
        <v>0</v>
      </c>
      <c r="I72" s="14">
        <v>0</v>
      </c>
      <c r="J72" s="14">
        <v>189.96</v>
      </c>
    </row>
    <row r="73" spans="1:10" ht="10.7" customHeight="1" x14ac:dyDescent="0.15">
      <c r="A73" s="12"/>
      <c r="B73" s="12" t="s">
        <v>95</v>
      </c>
      <c r="C73" s="12" t="s">
        <v>8</v>
      </c>
      <c r="D73" s="13">
        <v>50</v>
      </c>
      <c r="E73" s="13">
        <v>0</v>
      </c>
      <c r="F73" s="13">
        <v>40</v>
      </c>
      <c r="G73" s="13">
        <v>10</v>
      </c>
      <c r="H73" s="14">
        <v>0</v>
      </c>
      <c r="I73" s="14">
        <v>8651.32</v>
      </c>
      <c r="J73" s="14">
        <v>1989.76</v>
      </c>
    </row>
    <row r="74" spans="1:10" ht="10.7" customHeight="1" x14ac:dyDescent="0.15">
      <c r="A74" s="12"/>
      <c r="B74" s="12" t="s">
        <v>96</v>
      </c>
      <c r="C74" s="12" t="s">
        <v>82</v>
      </c>
      <c r="D74" s="13">
        <v>35</v>
      </c>
      <c r="E74" s="13">
        <v>50</v>
      </c>
      <c r="F74" s="13">
        <v>35</v>
      </c>
      <c r="G74" s="13">
        <v>50</v>
      </c>
      <c r="H74" s="14">
        <v>8375</v>
      </c>
      <c r="I74" s="14">
        <v>6103.34</v>
      </c>
      <c r="J74" s="14">
        <v>8366.6299999999992</v>
      </c>
    </row>
    <row r="75" spans="1:10" ht="10.7" customHeight="1" x14ac:dyDescent="0.15">
      <c r="A75" s="12"/>
      <c r="B75" s="12" t="s">
        <v>97</v>
      </c>
      <c r="C75" s="12" t="s">
        <v>21</v>
      </c>
      <c r="D75" s="13">
        <v>46</v>
      </c>
      <c r="E75" s="13">
        <v>0</v>
      </c>
      <c r="F75" s="13">
        <v>6</v>
      </c>
      <c r="G75" s="13">
        <v>40</v>
      </c>
      <c r="H75" s="14">
        <v>0</v>
      </c>
      <c r="I75" s="14">
        <v>734.72</v>
      </c>
      <c r="J75" s="14">
        <v>4538.8</v>
      </c>
    </row>
    <row r="76" spans="1:10" ht="10.7" customHeight="1" x14ac:dyDescent="0.15">
      <c r="A76" s="12"/>
      <c r="B76" s="12" t="s">
        <v>98</v>
      </c>
      <c r="C76" s="12" t="s">
        <v>35</v>
      </c>
      <c r="D76" s="13">
        <v>16</v>
      </c>
      <c r="E76" s="13">
        <v>0</v>
      </c>
      <c r="F76" s="13">
        <v>-3</v>
      </c>
      <c r="G76" s="13">
        <v>19</v>
      </c>
      <c r="H76" s="14">
        <v>0</v>
      </c>
      <c r="I76" s="14">
        <v>-263.04000000000002</v>
      </c>
      <c r="J76" s="14">
        <v>1814.24</v>
      </c>
    </row>
    <row r="77" spans="1:10" ht="10.7" customHeight="1" x14ac:dyDescent="0.15">
      <c r="A77" s="15" t="s">
        <v>99</v>
      </c>
      <c r="B77" s="15"/>
      <c r="C77" s="15"/>
      <c r="D77" s="16">
        <v>125074.78</v>
      </c>
      <c r="E77" s="16"/>
      <c r="F77" s="16"/>
      <c r="G77" s="16"/>
      <c r="H77" s="17">
        <f>SUM(H11:H76)</f>
        <v>467923.85</v>
      </c>
      <c r="I77" s="17">
        <f>SUM(I11:I76)</f>
        <v>390088.93000000011</v>
      </c>
      <c r="J77" s="17">
        <f>SUM(J11:J76)</f>
        <v>358340.48999999993</v>
      </c>
    </row>
    <row r="78" spans="1:10" ht="10.7" customHeight="1" x14ac:dyDescent="0.15">
      <c r="A78" s="18"/>
      <c r="B78" s="18" t="s">
        <v>100</v>
      </c>
      <c r="C78" s="18"/>
      <c r="D78" s="19">
        <v>127719.16</v>
      </c>
      <c r="E78" s="19">
        <v>0</v>
      </c>
      <c r="F78" s="19">
        <v>0</v>
      </c>
      <c r="G78" s="19">
        <v>0</v>
      </c>
      <c r="H78" s="20">
        <v>467923.85</v>
      </c>
      <c r="I78" s="20">
        <v>390301.0500000001</v>
      </c>
      <c r="J78" s="20">
        <v>360788.98999999993</v>
      </c>
    </row>
  </sheetData>
  <mergeCells count="6">
    <mergeCell ref="A1:J1"/>
    <mergeCell ref="A2:J2"/>
    <mergeCell ref="A3:J3"/>
    <mergeCell ref="A4:J4"/>
    <mergeCell ref="A6:J6"/>
    <mergeCell ref="A10:J10"/>
  </mergeCells>
  <printOptions horizontalCentered="1"/>
  <pageMargins left="0" right="0" top="0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MMPL63</dc:creator>
  <cp:lastModifiedBy>MMPL63</cp:lastModifiedBy>
  <dcterms:created xsi:type="dcterms:W3CDTF">2026-09-28T06:51:21Z</dcterms:created>
  <dcterms:modified xsi:type="dcterms:W3CDTF">2026-09-28T06:51:32Z</dcterms:modified>
</cp:coreProperties>
</file>