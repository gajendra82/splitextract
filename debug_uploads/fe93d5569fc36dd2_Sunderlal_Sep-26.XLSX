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10500"/>
  </bookViews>
  <sheets>
    <sheet name="XLS315" sheetId="1" r:id="rId1"/>
  </sheets>
  <calcPr calcId="124519"/>
</workbook>
</file>

<file path=xl/calcChain.xml><?xml version="1.0" encoding="utf-8"?>
<calcChain xmlns="http://schemas.openxmlformats.org/spreadsheetml/2006/main">
  <c r="U7" i="1"/>
  <c r="T7"/>
  <c r="S7"/>
  <c r="R7"/>
  <c r="Q7"/>
  <c r="P7"/>
  <c r="O7"/>
  <c r="N7"/>
  <c r="M7"/>
  <c r="L7"/>
  <c r="K7"/>
  <c r="J7"/>
  <c r="I7"/>
  <c r="H7"/>
  <c r="G7"/>
  <c r="F7"/>
  <c r="E7"/>
  <c r="D7"/>
  <c r="C7"/>
  <c r="B7"/>
  <c r="A7"/>
</calcChain>
</file>

<file path=xl/sharedStrings.xml><?xml version="1.0" encoding="utf-8"?>
<sst xmlns="http://schemas.openxmlformats.org/spreadsheetml/2006/main" count="261" uniqueCount="134">
  <si>
    <t>AACTARIL SOAP</t>
  </si>
  <si>
    <t>1 UNIT</t>
  </si>
  <si>
    <t>34011110</t>
  </si>
  <si>
    <t>ABANA TAB</t>
  </si>
  <si>
    <t>50 TAB</t>
  </si>
  <si>
    <t>30049099</t>
  </si>
  <si>
    <t>ALTHEA CREAM</t>
  </si>
  <si>
    <t>60 GM</t>
  </si>
  <si>
    <t>ALTHEA LOTION 100ML</t>
  </si>
  <si>
    <t>100 ML</t>
  </si>
  <si>
    <t>AMALAKI [AMLA] CAP</t>
  </si>
  <si>
    <t>30 CAP</t>
  </si>
  <si>
    <t>BAEL TAB</t>
  </si>
  <si>
    <t>60 TAB</t>
  </si>
  <si>
    <t>BLEMINOR CREAM</t>
  </si>
  <si>
    <t>30 ML</t>
  </si>
  <si>
    <t>BONNISAN LIQ. [BIG]</t>
  </si>
  <si>
    <t>200 ML</t>
  </si>
  <si>
    <t>CHIROPEX CREAM</t>
  </si>
  <si>
    <t>30 gm</t>
  </si>
  <si>
    <t>CLARINA ACNE CREAM</t>
  </si>
  <si>
    <t xml:space="preserve"> 30 GM</t>
  </si>
  <si>
    <t>CLARINA FACE WASH</t>
  </si>
  <si>
    <t>60 ML</t>
  </si>
  <si>
    <t>33049990</t>
  </si>
  <si>
    <t>CLEARVITAL GEL</t>
  </si>
  <si>
    <t>33049910</t>
  </si>
  <si>
    <t>CONFIDO TAB</t>
  </si>
  <si>
    <t>DIABECON DS TAB</t>
  </si>
  <si>
    <t>DIABECON TABS</t>
  </si>
  <si>
    <t>DIAKOF LIQUID</t>
  </si>
  <si>
    <t>DIAREX SYRUP</t>
  </si>
  <si>
    <t>DIAREX TABS</t>
  </si>
  <si>
    <t>30 TAB</t>
  </si>
  <si>
    <t>HADJOD TAB</t>
  </si>
  <si>
    <t>HAIRZONE SOLUTION</t>
  </si>
  <si>
    <t>33059020</t>
  </si>
  <si>
    <t>HERBOLAX CAPS</t>
  </si>
  <si>
    <t>10 CAP</t>
  </si>
  <si>
    <t>HERBOLAX TABS</t>
  </si>
  <si>
    <t>HIMCOLIN CREAM</t>
  </si>
  <si>
    <t>HIORA PAIN GEL</t>
  </si>
  <si>
    <t>10 GM</t>
  </si>
  <si>
    <t>HIORA SG GEL</t>
  </si>
  <si>
    <t>HIOWNA ADULT-POW(CHO)</t>
  </si>
  <si>
    <t>200 GM</t>
  </si>
  <si>
    <t>21069099</t>
  </si>
  <si>
    <t>HIOWNA-MOMZ. CHOC FLV</t>
  </si>
  <si>
    <t>KAPIKACHHU TAB</t>
  </si>
  <si>
    <t>30049090</t>
  </si>
  <si>
    <t>LIV 52 HB CAP</t>
  </si>
  <si>
    <t>LIV 52 SYRUP [BIG]</t>
  </si>
  <si>
    <t>LIV 52 SYRUP [SMALL]</t>
  </si>
  <si>
    <t>LIV 52 SYRUP [SUGER FREE]</t>
  </si>
  <si>
    <t>LIV 52 TAB</t>
  </si>
  <si>
    <t>100TAB</t>
  </si>
  <si>
    <t>MANJISHTHA TAB</t>
  </si>
  <si>
    <t>OPTHACARE EYE DROPS</t>
  </si>
  <si>
    <t>10 ML</t>
  </si>
  <si>
    <t>ORO T ORAL GARGLE</t>
  </si>
  <si>
    <t>OXITARD CAP</t>
  </si>
  <si>
    <t>PARTYSMART CAP</t>
  </si>
  <si>
    <t>PICROLAX CAP</t>
  </si>
  <si>
    <t>PICROLAX SUSP.</t>
  </si>
  <si>
    <t>120 ML</t>
  </si>
  <si>
    <t>PILEX FORTE OINTMENT</t>
  </si>
  <si>
    <t>PILEX FORTE TAB</t>
  </si>
  <si>
    <t>PILEX TAB</t>
  </si>
  <si>
    <t>PUNARNAVA TAB</t>
  </si>
  <si>
    <t>60*TAB</t>
  </si>
  <si>
    <t>PUREHANDS LIQ [50ML]</t>
  </si>
  <si>
    <t>50 ML</t>
  </si>
  <si>
    <t>34013090</t>
  </si>
  <si>
    <t>PUREHANDS LIQ.[500ML]</t>
  </si>
  <si>
    <t>500 ML</t>
  </si>
  <si>
    <t>PURIM TAB</t>
  </si>
  <si>
    <t>QUISTA ACTIVE  [CHOC]</t>
  </si>
  <si>
    <t>21069091</t>
  </si>
  <si>
    <t>QUISTA ACTIVE (MILK MASALA)</t>
  </si>
  <si>
    <t>200*GM</t>
  </si>
  <si>
    <t>QUISTA DN (MILK MASALA)</t>
  </si>
  <si>
    <t>400*GM</t>
  </si>
  <si>
    <t>QUISTA DN (VANILLA)</t>
  </si>
  <si>
    <t>QUISTA DN [VANILLA]</t>
  </si>
  <si>
    <t>RENALKA SYRUP</t>
  </si>
  <si>
    <t xml:space="preserve"> 100ML</t>
  </si>
  <si>
    <t>RENALKA SYRUP [BIG]</t>
  </si>
  <si>
    <t>REOSTO TAB</t>
  </si>
  <si>
    <t>SEPTILIN GUMMIES</t>
  </si>
  <si>
    <t>30*S</t>
  </si>
  <si>
    <t>SHALLAKI TAB</t>
  </si>
  <si>
    <t>SHIGRU TAB</t>
  </si>
  <si>
    <t>TAGARA CAP</t>
  </si>
  <si>
    <t>60 CAP</t>
  </si>
  <si>
    <t>TALEKT CAP</t>
  </si>
  <si>
    <t>TALEKT SYRUP</t>
  </si>
  <si>
    <t>TENTEX FORTE TAB</t>
  </si>
  <si>
    <t>10 TAB</t>
  </si>
  <si>
    <t>TRIKATU CAP</t>
  </si>
  <si>
    <t>TRIPHALA CAP</t>
  </si>
  <si>
    <t>VRIKSHAMLA CAP</t>
  </si>
  <si>
    <t>YASHTIMADHU TAB</t>
  </si>
  <si>
    <t>YESTIMADHU TAB</t>
  </si>
  <si>
    <t>60</t>
  </si>
  <si>
    <t/>
  </si>
  <si>
    <t>MR.Balance:        0.00</t>
  </si>
  <si>
    <t>OPENING :  117525.73</t>
  </si>
  <si>
    <t>PURCHASE :   25400.79</t>
  </si>
  <si>
    <t>SALES :   53993.57</t>
  </si>
  <si>
    <t>UC SALE :       0.00</t>
  </si>
  <si>
    <t>CL.STK.:  107958.26</t>
  </si>
  <si>
    <t>Opening On SaleRate:  139967.6</t>
  </si>
  <si>
    <t>Purchase On SaleRate:   28652.</t>
  </si>
  <si>
    <t>Closing On SaleRate:  126977.3</t>
  </si>
  <si>
    <t xml:space="preserve">SUNDERLAL ENTERPRISES                   </t>
  </si>
  <si>
    <t>S.L.HEIGHTS,MAIN BAZZAR PETH,            From : 01/09/26</t>
  </si>
  <si>
    <t>NEAR RAILWAY STATION,URULI KANCHAN,      To : 30/09/26</t>
  </si>
  <si>
    <t>PUNE-412202                             Report Date : 15-Oct-2026</t>
  </si>
  <si>
    <t>STOCK &amp; SALE STATEMENT</t>
  </si>
  <si>
    <t>Company Name : THE HIMALAYA DRUG CO.[ZEAL]</t>
  </si>
  <si>
    <t>NEAR EXPIRY REPORT</t>
  </si>
  <si>
    <t>SrNo.</t>
  </si>
  <si>
    <t>Product</t>
  </si>
  <si>
    <t>Pack</t>
  </si>
  <si>
    <t>Comp</t>
  </si>
  <si>
    <t>Batch</t>
  </si>
  <si>
    <t>Expiry</t>
  </si>
  <si>
    <t>P.RATE</t>
  </si>
  <si>
    <t>Qty</t>
  </si>
  <si>
    <t>Amount</t>
  </si>
  <si>
    <t xml:space="preserve">HERBOLAX CAPS                 </t>
  </si>
  <si>
    <t>HD2</t>
  </si>
  <si>
    <t xml:space="preserve">722400410*     </t>
  </si>
  <si>
    <t xml:space="preserve">Grand Total :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</si>
</sst>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Continuous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0"/>
  <sheetViews>
    <sheetView tabSelected="1" workbookViewId="0">
      <pane ySplit="7" topLeftCell="A8" activePane="bottomLeft" state="frozen"/>
      <selection pane="bottomLeft" activeCell="A8" sqref="A8:U8"/>
    </sheetView>
  </sheetViews>
  <sheetFormatPr defaultRowHeight="15"/>
  <cols>
    <col min="1" max="1" width="29.28515625" bestFit="1" customWidth="1"/>
    <col min="2" max="2" width="8" bestFit="1" customWidth="1"/>
    <col min="3" max="3" width="9.7109375" bestFit="1" customWidth="1"/>
    <col min="4" max="4" width="8.42578125" bestFit="1" customWidth="1"/>
    <col min="5" max="5" width="9.28515625" bestFit="1" customWidth="1"/>
    <col min="6" max="6" width="8" bestFit="1" customWidth="1"/>
    <col min="7" max="7" width="8.85546875" bestFit="1" customWidth="1"/>
    <col min="8" max="8" width="7.42578125" bestFit="1" customWidth="1"/>
    <col min="9" max="9" width="7.28515625" bestFit="1" customWidth="1"/>
    <col min="10" max="10" width="8.140625" bestFit="1" customWidth="1"/>
    <col min="11" max="11" width="8.5703125" bestFit="1" customWidth="1"/>
    <col min="12" max="12" width="7.140625" bestFit="1" customWidth="1"/>
    <col min="13" max="13" width="10.140625" bestFit="1" customWidth="1"/>
    <col min="14" max="14" width="10" bestFit="1" customWidth="1"/>
    <col min="15" max="15" width="9" bestFit="1" customWidth="1"/>
    <col min="16" max="16" width="9.140625" bestFit="1" customWidth="1"/>
    <col min="17" max="17" width="10" bestFit="1" customWidth="1"/>
    <col min="18" max="18" width="10.140625" bestFit="1" customWidth="1"/>
    <col min="19" max="19" width="8.28515625" bestFit="1" customWidth="1"/>
    <col min="20" max="20" width="10.28515625" bestFit="1" customWidth="1"/>
    <col min="21" max="21" width="12.42578125" bestFit="1" customWidth="1"/>
  </cols>
  <sheetData>
    <row r="1" spans="1:21">
      <c r="A1" s="2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 t="s">
        <v>115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 t="s">
        <v>116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>
      <c r="A4" s="2" t="s">
        <v>117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3" t="s">
        <v>118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>
      <c r="A6" s="3" t="s">
        <v>119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>
      <c r="A7" s="1" t="str">
        <f>UPPER("name")</f>
        <v>NAME</v>
      </c>
      <c r="B7" s="1" t="str">
        <f>UPPER("pack")</f>
        <v>PACK</v>
      </c>
      <c r="C7" s="1" t="str">
        <f>UPPER("openstk")</f>
        <v>OPENSTK</v>
      </c>
      <c r="D7" s="1" t="str">
        <f>UPPER("purstk")</f>
        <v>PURSTK</v>
      </c>
      <c r="E7" s="1" t="str">
        <f>UPPER("purscm")</f>
        <v>PURSCM</v>
      </c>
      <c r="F7" s="1" t="str">
        <f>UPPER("crestk")</f>
        <v>CRESTK</v>
      </c>
      <c r="G7" s="1" t="str">
        <f>UPPER("salestk")</f>
        <v>SALESTK</v>
      </c>
      <c r="H7" s="1" t="str">
        <f>UPPER("slscm")</f>
        <v>SLSCM</v>
      </c>
      <c r="I7" s="1" t="str">
        <f>UPPER("ucstk")</f>
        <v>UCSTK</v>
      </c>
      <c r="J7" s="1" t="str">
        <f>UPPER("ucscm")</f>
        <v>UCSCM</v>
      </c>
      <c r="K7" s="1" t="str">
        <f>UPPER("clmstk")</f>
        <v>CLMSTK</v>
      </c>
      <c r="L7" s="1" t="str">
        <f>UPPER("dbstk")</f>
        <v>DBSTK</v>
      </c>
      <c r="M7" s="1" t="str">
        <f>UPPER("closestk")</f>
        <v>CLOSESTK</v>
      </c>
      <c r="N7" s="1" t="str">
        <f>UPPER("openval")</f>
        <v>OPENVAL</v>
      </c>
      <c r="O7" s="1" t="str">
        <f>UPPER("purval")</f>
        <v>PURVAL</v>
      </c>
      <c r="P7" s="1" t="str">
        <f>UPPER("saleval")</f>
        <v>SALEVAL</v>
      </c>
      <c r="Q7" s="1" t="str">
        <f>UPPER("clsval")</f>
        <v>CLSVAL</v>
      </c>
      <c r="R7" s="1" t="str">
        <f>UPPER("hsncode")</f>
        <v>HSNCODE</v>
      </c>
      <c r="S7" s="1" t="str">
        <f>UPPER("taxper")</f>
        <v>TAXPER</v>
      </c>
      <c r="T7" s="1" t="str">
        <f>UPPER("slgstval")</f>
        <v>SLGSTVAL</v>
      </c>
      <c r="U7" s="1" t="str">
        <f>UPPER("scmgstval")</f>
        <v>SCMGSTVAL</v>
      </c>
    </row>
    <row r="8" spans="1:21">
      <c r="A8" t="s">
        <v>0</v>
      </c>
      <c r="B8" t="s">
        <v>1</v>
      </c>
      <c r="C8">
        <v>12</v>
      </c>
      <c r="D8">
        <v>0</v>
      </c>
      <c r="E8">
        <v>0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10</v>
      </c>
      <c r="N8">
        <v>946.32</v>
      </c>
      <c r="O8">
        <v>0</v>
      </c>
      <c r="P8">
        <v>143.56</v>
      </c>
      <c r="Q8">
        <v>788.6</v>
      </c>
      <c r="R8" t="s">
        <v>2</v>
      </c>
      <c r="S8">
        <v>5</v>
      </c>
      <c r="T8">
        <v>184</v>
      </c>
      <c r="U8">
        <v>0</v>
      </c>
    </row>
    <row r="9" spans="1:21">
      <c r="A9" t="s">
        <v>3</v>
      </c>
      <c r="B9" t="s">
        <v>4</v>
      </c>
      <c r="C9">
        <v>101</v>
      </c>
      <c r="D9">
        <v>0</v>
      </c>
      <c r="E9">
        <v>0</v>
      </c>
      <c r="F9">
        <v>0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98</v>
      </c>
      <c r="N9">
        <v>14559.15</v>
      </c>
      <c r="O9">
        <v>0</v>
      </c>
      <c r="P9">
        <v>502.86</v>
      </c>
      <c r="Q9">
        <v>14126.7</v>
      </c>
      <c r="R9" t="s">
        <v>5</v>
      </c>
      <c r="S9">
        <v>5</v>
      </c>
      <c r="T9">
        <v>528</v>
      </c>
      <c r="U9">
        <v>0</v>
      </c>
    </row>
    <row r="10" spans="1:21">
      <c r="A10" t="s">
        <v>6</v>
      </c>
      <c r="B10" t="s">
        <v>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5</v>
      </c>
      <c r="S10">
        <v>5</v>
      </c>
      <c r="T10">
        <v>0</v>
      </c>
      <c r="U10">
        <v>0</v>
      </c>
    </row>
    <row r="11" spans="1:21">
      <c r="A11" t="s">
        <v>8</v>
      </c>
      <c r="B11" t="s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5</v>
      </c>
      <c r="S11">
        <v>5</v>
      </c>
      <c r="T11">
        <v>0</v>
      </c>
      <c r="U11">
        <v>0</v>
      </c>
    </row>
    <row r="12" spans="1:21">
      <c r="A12" t="s">
        <v>10</v>
      </c>
      <c r="B12" t="s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5</v>
      </c>
      <c r="S12">
        <v>5</v>
      </c>
      <c r="T12">
        <v>0</v>
      </c>
      <c r="U12">
        <v>0</v>
      </c>
    </row>
    <row r="13" spans="1:21">
      <c r="A13" t="s">
        <v>12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5</v>
      </c>
      <c r="S13">
        <v>5</v>
      </c>
      <c r="T13">
        <v>0</v>
      </c>
      <c r="U13">
        <v>0</v>
      </c>
    </row>
    <row r="14" spans="1:21">
      <c r="A14" t="s">
        <v>14</v>
      </c>
      <c r="B14" t="s">
        <v>15</v>
      </c>
      <c r="C14">
        <v>26</v>
      </c>
      <c r="D14">
        <v>0</v>
      </c>
      <c r="E14">
        <v>0</v>
      </c>
      <c r="F14">
        <v>0</v>
      </c>
      <c r="G14">
        <v>5</v>
      </c>
      <c r="H14">
        <v>0</v>
      </c>
      <c r="I14">
        <v>0</v>
      </c>
      <c r="J14">
        <v>0</v>
      </c>
      <c r="K14">
        <v>0</v>
      </c>
      <c r="L14">
        <v>0</v>
      </c>
      <c r="M14">
        <v>21</v>
      </c>
      <c r="N14">
        <v>4513.08</v>
      </c>
      <c r="O14">
        <v>0</v>
      </c>
      <c r="P14">
        <v>979</v>
      </c>
      <c r="Q14">
        <v>3645.18</v>
      </c>
      <c r="R14" t="s">
        <v>5</v>
      </c>
      <c r="S14">
        <v>5</v>
      </c>
      <c r="T14">
        <v>1027.95</v>
      </c>
      <c r="U14">
        <v>0</v>
      </c>
    </row>
    <row r="15" spans="1:21">
      <c r="A15" t="s">
        <v>16</v>
      </c>
      <c r="B15" t="s">
        <v>17</v>
      </c>
      <c r="C15">
        <v>21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21</v>
      </c>
      <c r="N15">
        <v>1914.99</v>
      </c>
      <c r="O15">
        <v>0</v>
      </c>
      <c r="P15">
        <v>0</v>
      </c>
      <c r="Q15">
        <v>1914.99</v>
      </c>
      <c r="R15" t="s">
        <v>5</v>
      </c>
      <c r="S15">
        <v>5</v>
      </c>
      <c r="T15">
        <v>0</v>
      </c>
      <c r="U15">
        <v>0</v>
      </c>
    </row>
    <row r="16" spans="1:21">
      <c r="A16" t="s">
        <v>18</v>
      </c>
      <c r="B16" t="s">
        <v>19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5</v>
      </c>
      <c r="S16">
        <v>5</v>
      </c>
      <c r="T16">
        <v>0</v>
      </c>
      <c r="U16">
        <v>0</v>
      </c>
    </row>
    <row r="17" spans="1:21">
      <c r="A17" t="s">
        <v>20</v>
      </c>
      <c r="B17" t="s">
        <v>21</v>
      </c>
      <c r="C17">
        <v>0</v>
      </c>
      <c r="D17">
        <v>0</v>
      </c>
      <c r="E17">
        <v>0</v>
      </c>
      <c r="F17">
        <v>4</v>
      </c>
      <c r="G17">
        <v>4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585.12</v>
      </c>
      <c r="Q17">
        <v>0</v>
      </c>
      <c r="R17" t="s">
        <v>5</v>
      </c>
      <c r="S17">
        <v>5</v>
      </c>
      <c r="T17">
        <v>614.38</v>
      </c>
      <c r="U17">
        <v>0</v>
      </c>
    </row>
    <row r="18" spans="1:21">
      <c r="A18" t="s">
        <v>22</v>
      </c>
      <c r="B18" t="s">
        <v>23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</v>
      </c>
      <c r="N18">
        <v>209.9</v>
      </c>
      <c r="O18">
        <v>0</v>
      </c>
      <c r="P18">
        <v>0</v>
      </c>
      <c r="Q18">
        <v>209.9</v>
      </c>
      <c r="R18" t="s">
        <v>24</v>
      </c>
      <c r="S18">
        <v>18</v>
      </c>
      <c r="T18">
        <v>0</v>
      </c>
      <c r="U18">
        <v>0</v>
      </c>
    </row>
    <row r="19" spans="1:21">
      <c r="A19" t="s">
        <v>25</v>
      </c>
      <c r="B19" t="s">
        <v>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s">
        <v>26</v>
      </c>
      <c r="S19">
        <v>5</v>
      </c>
      <c r="T19">
        <v>0</v>
      </c>
      <c r="U19">
        <v>0</v>
      </c>
    </row>
    <row r="20" spans="1:21">
      <c r="A20" t="s">
        <v>27</v>
      </c>
      <c r="B20" t="s">
        <v>13</v>
      </c>
      <c r="C20">
        <v>55</v>
      </c>
      <c r="D20">
        <v>0</v>
      </c>
      <c r="E20">
        <v>0</v>
      </c>
      <c r="F20">
        <v>0</v>
      </c>
      <c r="G20">
        <v>13</v>
      </c>
      <c r="H20">
        <v>0</v>
      </c>
      <c r="I20">
        <v>0</v>
      </c>
      <c r="J20">
        <v>0</v>
      </c>
      <c r="K20">
        <v>0</v>
      </c>
      <c r="L20">
        <v>0</v>
      </c>
      <c r="M20">
        <v>42</v>
      </c>
      <c r="N20">
        <v>9027.15</v>
      </c>
      <c r="O20">
        <v>0</v>
      </c>
      <c r="P20">
        <v>2414.36</v>
      </c>
      <c r="Q20">
        <v>6893.46</v>
      </c>
      <c r="R20" t="s">
        <v>5</v>
      </c>
      <c r="S20">
        <v>5</v>
      </c>
      <c r="T20">
        <v>2535.08</v>
      </c>
      <c r="U20">
        <v>0</v>
      </c>
    </row>
    <row r="21" spans="1:21">
      <c r="A21" t="s">
        <v>28</v>
      </c>
      <c r="B21" t="s">
        <v>13</v>
      </c>
      <c r="C21">
        <v>33</v>
      </c>
      <c r="D21">
        <v>0</v>
      </c>
      <c r="E21">
        <v>0</v>
      </c>
      <c r="F21">
        <v>0</v>
      </c>
      <c r="G21">
        <v>6</v>
      </c>
      <c r="H21">
        <v>0</v>
      </c>
      <c r="I21">
        <v>0</v>
      </c>
      <c r="J21">
        <v>0</v>
      </c>
      <c r="K21">
        <v>0</v>
      </c>
      <c r="L21">
        <v>0</v>
      </c>
      <c r="M21">
        <v>27</v>
      </c>
      <c r="N21">
        <v>6352.17</v>
      </c>
      <c r="O21">
        <v>0</v>
      </c>
      <c r="P21">
        <v>1302.8399999999999</v>
      </c>
      <c r="Q21">
        <v>5197.2299999999996</v>
      </c>
      <c r="R21" t="s">
        <v>5</v>
      </c>
      <c r="S21">
        <v>5</v>
      </c>
      <c r="T21">
        <v>1367.98</v>
      </c>
      <c r="U21">
        <v>0</v>
      </c>
    </row>
    <row r="22" spans="1:21">
      <c r="A22" t="s">
        <v>29</v>
      </c>
      <c r="B22" t="s">
        <v>13</v>
      </c>
      <c r="C22">
        <v>76</v>
      </c>
      <c r="D22">
        <v>0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74</v>
      </c>
      <c r="N22">
        <v>10061.64</v>
      </c>
      <c r="O22">
        <v>0</v>
      </c>
      <c r="P22">
        <v>298.68</v>
      </c>
      <c r="Q22">
        <v>9796.86</v>
      </c>
      <c r="R22" t="s">
        <v>5</v>
      </c>
      <c r="S22">
        <v>5</v>
      </c>
      <c r="T22">
        <v>313.61</v>
      </c>
      <c r="U22">
        <v>0</v>
      </c>
    </row>
    <row r="23" spans="1:21">
      <c r="A23" t="s">
        <v>30</v>
      </c>
      <c r="B23" t="s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5</v>
      </c>
      <c r="S23">
        <v>5</v>
      </c>
      <c r="T23">
        <v>0</v>
      </c>
      <c r="U23">
        <v>0</v>
      </c>
    </row>
    <row r="24" spans="1:21">
      <c r="A24" t="s">
        <v>31</v>
      </c>
      <c r="B24" t="s">
        <v>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5</v>
      </c>
      <c r="S24">
        <v>5</v>
      </c>
      <c r="T24">
        <v>0</v>
      </c>
      <c r="U24">
        <v>0</v>
      </c>
    </row>
    <row r="25" spans="1:21">
      <c r="A25" t="s">
        <v>32</v>
      </c>
      <c r="B25" t="s">
        <v>33</v>
      </c>
      <c r="C25">
        <v>9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8</v>
      </c>
      <c r="N25">
        <v>808.38</v>
      </c>
      <c r="O25">
        <v>0</v>
      </c>
      <c r="P25">
        <v>99.8</v>
      </c>
      <c r="Q25">
        <v>718.56</v>
      </c>
      <c r="R25" t="s">
        <v>5</v>
      </c>
      <c r="S25">
        <v>5</v>
      </c>
      <c r="T25">
        <v>104.79</v>
      </c>
      <c r="U25">
        <v>0</v>
      </c>
    </row>
    <row r="26" spans="1:21">
      <c r="A26" t="s">
        <v>34</v>
      </c>
      <c r="B26" t="s">
        <v>13</v>
      </c>
      <c r="C26">
        <v>3</v>
      </c>
      <c r="D26">
        <v>0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638.85</v>
      </c>
      <c r="O26">
        <v>0</v>
      </c>
      <c r="P26">
        <v>495.24</v>
      </c>
      <c r="Q26">
        <v>212.95</v>
      </c>
      <c r="R26" t="s">
        <v>5</v>
      </c>
      <c r="S26">
        <v>5</v>
      </c>
      <c r="T26">
        <v>520</v>
      </c>
      <c r="U26">
        <v>0</v>
      </c>
    </row>
    <row r="27" spans="1:21">
      <c r="A27" t="s">
        <v>35</v>
      </c>
      <c r="B27" t="s">
        <v>23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26</v>
      </c>
      <c r="N27">
        <v>6875.44</v>
      </c>
      <c r="O27">
        <v>0</v>
      </c>
      <c r="P27">
        <v>0</v>
      </c>
      <c r="Q27">
        <v>6875.44</v>
      </c>
      <c r="R27" t="s">
        <v>36</v>
      </c>
      <c r="S27">
        <v>18</v>
      </c>
      <c r="T27">
        <v>0</v>
      </c>
      <c r="U27">
        <v>0</v>
      </c>
    </row>
    <row r="28" spans="1:21">
      <c r="A28" t="s">
        <v>37</v>
      </c>
      <c r="B28" t="s">
        <v>38</v>
      </c>
      <c r="C28">
        <v>0</v>
      </c>
      <c r="D28">
        <v>0</v>
      </c>
      <c r="E28">
        <v>0</v>
      </c>
      <c r="F28">
        <v>53</v>
      </c>
      <c r="G28">
        <v>53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3392</v>
      </c>
      <c r="Q28">
        <v>0</v>
      </c>
      <c r="R28" t="s">
        <v>5</v>
      </c>
      <c r="S28">
        <v>5</v>
      </c>
      <c r="T28">
        <v>3561.6</v>
      </c>
      <c r="U28">
        <v>0</v>
      </c>
    </row>
    <row r="29" spans="1:21">
      <c r="A29" t="s">
        <v>39</v>
      </c>
      <c r="B29" t="s">
        <v>13</v>
      </c>
      <c r="C29">
        <v>32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31</v>
      </c>
      <c r="N29">
        <v>4755.2</v>
      </c>
      <c r="O29">
        <v>0</v>
      </c>
      <c r="P29">
        <v>167.62</v>
      </c>
      <c r="Q29">
        <v>4606.6000000000004</v>
      </c>
      <c r="R29" t="s">
        <v>5</v>
      </c>
      <c r="S29">
        <v>5</v>
      </c>
      <c r="T29">
        <v>176</v>
      </c>
      <c r="U29">
        <v>0</v>
      </c>
    </row>
    <row r="30" spans="1:21">
      <c r="A30" t="s">
        <v>40</v>
      </c>
      <c r="B30" t="s">
        <v>21</v>
      </c>
      <c r="C30">
        <v>14</v>
      </c>
      <c r="D30">
        <v>0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  <c r="K30">
        <v>0</v>
      </c>
      <c r="L30">
        <v>0</v>
      </c>
      <c r="M30">
        <v>12</v>
      </c>
      <c r="N30">
        <v>2874.62</v>
      </c>
      <c r="O30">
        <v>0</v>
      </c>
      <c r="P30">
        <v>462</v>
      </c>
      <c r="Q30">
        <v>2463.96</v>
      </c>
      <c r="R30" t="s">
        <v>5</v>
      </c>
      <c r="S30">
        <v>5</v>
      </c>
      <c r="T30">
        <v>485.1</v>
      </c>
      <c r="U30">
        <v>0</v>
      </c>
    </row>
    <row r="31" spans="1:21">
      <c r="A31" t="s">
        <v>41</v>
      </c>
      <c r="B31" t="s">
        <v>42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s">
        <v>5</v>
      </c>
      <c r="S31">
        <v>5</v>
      </c>
      <c r="T31">
        <v>0</v>
      </c>
      <c r="U31">
        <v>0</v>
      </c>
    </row>
    <row r="32" spans="1:21">
      <c r="A32" t="s">
        <v>43</v>
      </c>
      <c r="B32" t="s">
        <v>42</v>
      </c>
      <c r="C32">
        <v>19</v>
      </c>
      <c r="D32">
        <v>0</v>
      </c>
      <c r="E32">
        <v>0</v>
      </c>
      <c r="F32">
        <v>0</v>
      </c>
      <c r="G32">
        <v>10</v>
      </c>
      <c r="H32">
        <v>0</v>
      </c>
      <c r="I32">
        <v>0</v>
      </c>
      <c r="J32">
        <v>0</v>
      </c>
      <c r="K32">
        <v>0</v>
      </c>
      <c r="L32">
        <v>0</v>
      </c>
      <c r="M32">
        <v>9</v>
      </c>
      <c r="N32">
        <v>1437.35</v>
      </c>
      <c r="O32">
        <v>0</v>
      </c>
      <c r="P32">
        <v>853.5</v>
      </c>
      <c r="Q32">
        <v>680.85</v>
      </c>
      <c r="R32" t="s">
        <v>5</v>
      </c>
      <c r="S32">
        <v>5</v>
      </c>
      <c r="T32">
        <v>896.18</v>
      </c>
      <c r="U32">
        <v>0</v>
      </c>
    </row>
    <row r="33" spans="1:21">
      <c r="A33" t="s">
        <v>44</v>
      </c>
      <c r="B33" t="s">
        <v>45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s">
        <v>46</v>
      </c>
      <c r="S33">
        <v>28</v>
      </c>
      <c r="T33">
        <v>0</v>
      </c>
      <c r="U33">
        <v>0</v>
      </c>
    </row>
    <row r="34" spans="1:21">
      <c r="A34" t="s">
        <v>47</v>
      </c>
      <c r="B34" t="s">
        <v>45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46</v>
      </c>
      <c r="S34">
        <v>28</v>
      </c>
      <c r="T34">
        <v>0</v>
      </c>
      <c r="U34">
        <v>0</v>
      </c>
    </row>
    <row r="35" spans="1:21">
      <c r="A35" t="s">
        <v>48</v>
      </c>
      <c r="B35" t="s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49</v>
      </c>
      <c r="S35">
        <v>5</v>
      </c>
      <c r="T35">
        <v>0</v>
      </c>
      <c r="U35">
        <v>0</v>
      </c>
    </row>
    <row r="36" spans="1:21">
      <c r="A36" t="s">
        <v>50</v>
      </c>
      <c r="B36" t="s">
        <v>38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5</v>
      </c>
      <c r="S36">
        <v>5</v>
      </c>
      <c r="T36">
        <v>0</v>
      </c>
      <c r="U36">
        <v>0</v>
      </c>
    </row>
    <row r="37" spans="1:21">
      <c r="A37" t="s">
        <v>51</v>
      </c>
      <c r="B37" t="s">
        <v>17</v>
      </c>
      <c r="C37">
        <v>39</v>
      </c>
      <c r="D37">
        <v>35</v>
      </c>
      <c r="E37">
        <v>0</v>
      </c>
      <c r="F37">
        <v>0</v>
      </c>
      <c r="G37">
        <v>34</v>
      </c>
      <c r="H37">
        <v>0</v>
      </c>
      <c r="I37">
        <v>0</v>
      </c>
      <c r="J37">
        <v>0</v>
      </c>
      <c r="K37">
        <v>0</v>
      </c>
      <c r="L37">
        <v>0</v>
      </c>
      <c r="M37">
        <v>40</v>
      </c>
      <c r="N37">
        <v>5445.96</v>
      </c>
      <c r="O37">
        <v>5531.75</v>
      </c>
      <c r="P37">
        <v>6061.52</v>
      </c>
      <c r="Q37">
        <v>5585.6</v>
      </c>
      <c r="R37" t="s">
        <v>5</v>
      </c>
      <c r="S37">
        <v>5</v>
      </c>
      <c r="T37">
        <v>6364.6</v>
      </c>
      <c r="U37">
        <v>0</v>
      </c>
    </row>
    <row r="38" spans="1:21">
      <c r="A38" t="s">
        <v>52</v>
      </c>
      <c r="B38" t="s">
        <v>9</v>
      </c>
      <c r="C38">
        <v>1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94.55</v>
      </c>
      <c r="O38">
        <v>0</v>
      </c>
      <c r="P38">
        <v>106.66</v>
      </c>
      <c r="Q38">
        <v>0</v>
      </c>
      <c r="R38" t="s">
        <v>5</v>
      </c>
      <c r="S38">
        <v>5</v>
      </c>
      <c r="T38">
        <v>111.99</v>
      </c>
      <c r="U38">
        <v>0</v>
      </c>
    </row>
    <row r="39" spans="1:21">
      <c r="A39" t="s">
        <v>53</v>
      </c>
      <c r="B39" t="s">
        <v>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s">
        <v>5</v>
      </c>
      <c r="S39">
        <v>5</v>
      </c>
      <c r="T39">
        <v>0</v>
      </c>
      <c r="U39">
        <v>0</v>
      </c>
    </row>
    <row r="40" spans="1:21">
      <c r="A40" t="s">
        <v>54</v>
      </c>
      <c r="B40" t="s">
        <v>55</v>
      </c>
      <c r="C40">
        <v>0</v>
      </c>
      <c r="D40">
        <v>100</v>
      </c>
      <c r="E40">
        <v>0</v>
      </c>
      <c r="F40">
        <v>0</v>
      </c>
      <c r="G40">
        <v>31</v>
      </c>
      <c r="H40">
        <v>0</v>
      </c>
      <c r="I40">
        <v>0</v>
      </c>
      <c r="J40">
        <v>0</v>
      </c>
      <c r="K40">
        <v>0</v>
      </c>
      <c r="L40">
        <v>0</v>
      </c>
      <c r="M40">
        <v>69</v>
      </c>
      <c r="N40">
        <v>0</v>
      </c>
      <c r="O40">
        <v>14860</v>
      </c>
      <c r="P40">
        <v>5196.22</v>
      </c>
      <c r="Q40">
        <v>9007.26</v>
      </c>
      <c r="R40" t="s">
        <v>5</v>
      </c>
      <c r="S40">
        <v>5</v>
      </c>
      <c r="T40">
        <v>5456.03</v>
      </c>
      <c r="U40">
        <v>0</v>
      </c>
    </row>
    <row r="41" spans="1:21">
      <c r="A41" t="s">
        <v>56</v>
      </c>
      <c r="B41" t="s">
        <v>13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s">
        <v>5</v>
      </c>
      <c r="S41">
        <v>5</v>
      </c>
      <c r="T41">
        <v>0</v>
      </c>
      <c r="U41">
        <v>0</v>
      </c>
    </row>
    <row r="42" spans="1:21">
      <c r="A42" t="s">
        <v>57</v>
      </c>
      <c r="B42" t="s">
        <v>58</v>
      </c>
      <c r="C42">
        <v>0</v>
      </c>
      <c r="D42">
        <v>72</v>
      </c>
      <c r="E42">
        <v>0</v>
      </c>
      <c r="F42">
        <v>0</v>
      </c>
      <c r="G42">
        <v>53</v>
      </c>
      <c r="H42">
        <v>3</v>
      </c>
      <c r="I42">
        <v>0</v>
      </c>
      <c r="J42">
        <v>0</v>
      </c>
      <c r="K42">
        <v>0</v>
      </c>
      <c r="L42">
        <v>0</v>
      </c>
      <c r="M42">
        <v>16</v>
      </c>
      <c r="N42">
        <v>0</v>
      </c>
      <c r="O42">
        <v>5009.04</v>
      </c>
      <c r="P42">
        <v>4159.4399999999996</v>
      </c>
      <c r="Q42">
        <v>1079.8399999999999</v>
      </c>
      <c r="R42" t="s">
        <v>5</v>
      </c>
      <c r="S42">
        <v>5</v>
      </c>
      <c r="T42">
        <v>4367.41</v>
      </c>
      <c r="U42">
        <v>247.21</v>
      </c>
    </row>
    <row r="43" spans="1:21">
      <c r="A43" t="s">
        <v>59</v>
      </c>
      <c r="B43" t="s">
        <v>9</v>
      </c>
      <c r="C43">
        <v>0</v>
      </c>
      <c r="D43">
        <v>0</v>
      </c>
      <c r="E43">
        <v>0</v>
      </c>
      <c r="F43">
        <v>42</v>
      </c>
      <c r="G43">
        <v>42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5376</v>
      </c>
      <c r="Q43">
        <v>0</v>
      </c>
      <c r="R43" t="s">
        <v>5</v>
      </c>
      <c r="S43">
        <v>5</v>
      </c>
      <c r="T43">
        <v>5644.8</v>
      </c>
      <c r="U43">
        <v>0</v>
      </c>
    </row>
    <row r="44" spans="1:21">
      <c r="A44" t="s">
        <v>60</v>
      </c>
      <c r="B44" t="s">
        <v>38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5</v>
      </c>
      <c r="S44">
        <v>5</v>
      </c>
      <c r="T44">
        <v>0</v>
      </c>
      <c r="U44">
        <v>0</v>
      </c>
    </row>
    <row r="45" spans="1:21">
      <c r="A45" t="s">
        <v>61</v>
      </c>
      <c r="B45" t="s">
        <v>38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5</v>
      </c>
      <c r="S45">
        <v>5</v>
      </c>
      <c r="T45">
        <v>0</v>
      </c>
      <c r="U45">
        <v>0</v>
      </c>
    </row>
    <row r="46" spans="1:21">
      <c r="A46" t="s">
        <v>62</v>
      </c>
      <c r="B46" t="s">
        <v>38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5</v>
      </c>
      <c r="S46">
        <v>5</v>
      </c>
      <c r="T46">
        <v>0</v>
      </c>
      <c r="U46">
        <v>0</v>
      </c>
    </row>
    <row r="47" spans="1:21">
      <c r="A47" t="s">
        <v>63</v>
      </c>
      <c r="B47" t="s">
        <v>64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s">
        <v>5</v>
      </c>
      <c r="S47">
        <v>5</v>
      </c>
      <c r="T47">
        <v>0</v>
      </c>
      <c r="U47">
        <v>0</v>
      </c>
    </row>
    <row r="48" spans="1:21">
      <c r="A48" t="s">
        <v>65</v>
      </c>
      <c r="B48" t="s">
        <v>21</v>
      </c>
      <c r="C48">
        <v>71</v>
      </c>
      <c r="D48">
        <v>0</v>
      </c>
      <c r="E48">
        <v>0</v>
      </c>
      <c r="F48">
        <v>0</v>
      </c>
      <c r="G48">
        <v>12</v>
      </c>
      <c r="H48">
        <v>0</v>
      </c>
      <c r="I48">
        <v>0</v>
      </c>
      <c r="J48">
        <v>0</v>
      </c>
      <c r="K48">
        <v>0</v>
      </c>
      <c r="L48">
        <v>0</v>
      </c>
      <c r="M48">
        <v>59</v>
      </c>
      <c r="N48">
        <v>7193.01</v>
      </c>
      <c r="O48">
        <v>0</v>
      </c>
      <c r="P48">
        <v>1371.36</v>
      </c>
      <c r="Q48">
        <v>5977.29</v>
      </c>
      <c r="R48" t="s">
        <v>5</v>
      </c>
      <c r="S48">
        <v>5</v>
      </c>
      <c r="T48">
        <v>1439.93</v>
      </c>
      <c r="U48">
        <v>0</v>
      </c>
    </row>
    <row r="49" spans="1:21">
      <c r="A49" t="s">
        <v>66</v>
      </c>
      <c r="B49" t="s">
        <v>33</v>
      </c>
      <c r="C49">
        <v>24</v>
      </c>
      <c r="D49">
        <v>0</v>
      </c>
      <c r="E49">
        <v>0</v>
      </c>
      <c r="F49">
        <v>0</v>
      </c>
      <c r="G49">
        <v>4</v>
      </c>
      <c r="H49">
        <v>0</v>
      </c>
      <c r="I49">
        <v>0</v>
      </c>
      <c r="J49">
        <v>0</v>
      </c>
      <c r="K49">
        <v>0</v>
      </c>
      <c r="L49">
        <v>0</v>
      </c>
      <c r="M49">
        <v>20</v>
      </c>
      <c r="N49">
        <v>2534.64</v>
      </c>
      <c r="O49">
        <v>0</v>
      </c>
      <c r="P49">
        <v>469.36</v>
      </c>
      <c r="Q49">
        <v>2112.1999999999998</v>
      </c>
      <c r="R49" t="s">
        <v>5</v>
      </c>
      <c r="S49">
        <v>5</v>
      </c>
      <c r="T49">
        <v>492.83</v>
      </c>
      <c r="U49">
        <v>0</v>
      </c>
    </row>
    <row r="50" spans="1:21">
      <c r="A50" t="s">
        <v>67</v>
      </c>
      <c r="B50" t="s">
        <v>13</v>
      </c>
      <c r="C50">
        <v>64</v>
      </c>
      <c r="D50">
        <v>0</v>
      </c>
      <c r="E50">
        <v>0</v>
      </c>
      <c r="F50">
        <v>0</v>
      </c>
      <c r="G50">
        <v>35</v>
      </c>
      <c r="H50">
        <v>0</v>
      </c>
      <c r="I50">
        <v>0</v>
      </c>
      <c r="J50">
        <v>0</v>
      </c>
      <c r="K50">
        <v>0</v>
      </c>
      <c r="L50">
        <v>0</v>
      </c>
      <c r="M50">
        <v>29</v>
      </c>
      <c r="N50">
        <v>7854.08</v>
      </c>
      <c r="O50">
        <v>0</v>
      </c>
      <c r="P50">
        <v>6250.3</v>
      </c>
      <c r="Q50">
        <v>3558.88</v>
      </c>
      <c r="R50" t="s">
        <v>5</v>
      </c>
      <c r="S50">
        <v>5</v>
      </c>
      <c r="T50">
        <v>6562.82</v>
      </c>
      <c r="U50">
        <v>0</v>
      </c>
    </row>
    <row r="51" spans="1:21">
      <c r="A51" t="s">
        <v>68</v>
      </c>
      <c r="B51" t="s">
        <v>69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5</v>
      </c>
      <c r="S51">
        <v>5</v>
      </c>
      <c r="T51">
        <v>0</v>
      </c>
      <c r="U51">
        <v>0</v>
      </c>
    </row>
    <row r="52" spans="1:21">
      <c r="A52" t="s">
        <v>70</v>
      </c>
      <c r="B52" t="s">
        <v>71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72</v>
      </c>
      <c r="S52">
        <v>28</v>
      </c>
      <c r="T52">
        <v>0</v>
      </c>
      <c r="U52">
        <v>0</v>
      </c>
    </row>
    <row r="53" spans="1:21">
      <c r="A53" t="s">
        <v>73</v>
      </c>
      <c r="B53" t="s">
        <v>74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 t="s">
        <v>72</v>
      </c>
      <c r="S53">
        <v>18</v>
      </c>
      <c r="T53">
        <v>0</v>
      </c>
      <c r="U53">
        <v>0</v>
      </c>
    </row>
    <row r="54" spans="1:21">
      <c r="A54" t="s">
        <v>75</v>
      </c>
      <c r="B54" t="s">
        <v>13</v>
      </c>
      <c r="C54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</v>
      </c>
      <c r="N54">
        <v>466.52</v>
      </c>
      <c r="O54">
        <v>0</v>
      </c>
      <c r="P54">
        <v>0</v>
      </c>
      <c r="Q54">
        <v>466.52</v>
      </c>
      <c r="R54" t="s">
        <v>5</v>
      </c>
      <c r="S54">
        <v>5</v>
      </c>
      <c r="T54">
        <v>0</v>
      </c>
      <c r="U54">
        <v>0</v>
      </c>
    </row>
    <row r="55" spans="1:21">
      <c r="A55" t="s">
        <v>76</v>
      </c>
      <c r="B55" t="s">
        <v>45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77</v>
      </c>
      <c r="S55">
        <v>5</v>
      </c>
      <c r="T55">
        <v>0</v>
      </c>
      <c r="U55">
        <v>0</v>
      </c>
    </row>
    <row r="56" spans="1:21">
      <c r="A56" t="s">
        <v>78</v>
      </c>
      <c r="B56" t="s">
        <v>79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 t="s">
        <v>5</v>
      </c>
      <c r="S56">
        <v>5</v>
      </c>
      <c r="T56">
        <v>0</v>
      </c>
      <c r="U56">
        <v>0</v>
      </c>
    </row>
    <row r="57" spans="1:21">
      <c r="A57" t="s">
        <v>80</v>
      </c>
      <c r="B57" t="s">
        <v>81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5</v>
      </c>
      <c r="S57">
        <v>5</v>
      </c>
      <c r="T57">
        <v>0</v>
      </c>
      <c r="U57">
        <v>0</v>
      </c>
    </row>
    <row r="58" spans="1:21">
      <c r="A58" t="s">
        <v>82</v>
      </c>
      <c r="B58" t="s">
        <v>81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5</v>
      </c>
      <c r="S58">
        <v>5</v>
      </c>
      <c r="T58">
        <v>0</v>
      </c>
      <c r="U58">
        <v>0</v>
      </c>
    </row>
    <row r="59" spans="1:21">
      <c r="A59" t="s">
        <v>83</v>
      </c>
      <c r="B59" t="s">
        <v>45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 t="s">
        <v>77</v>
      </c>
      <c r="S59">
        <v>5</v>
      </c>
      <c r="T59">
        <v>0</v>
      </c>
      <c r="U59">
        <v>0</v>
      </c>
    </row>
    <row r="60" spans="1:21">
      <c r="A60" t="s">
        <v>84</v>
      </c>
      <c r="B60" t="s">
        <v>85</v>
      </c>
      <c r="C60">
        <v>0</v>
      </c>
      <c r="D60">
        <v>0</v>
      </c>
      <c r="E60">
        <v>0</v>
      </c>
      <c r="F60">
        <v>47</v>
      </c>
      <c r="G60">
        <v>47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4011.45</v>
      </c>
      <c r="Q60">
        <v>0</v>
      </c>
      <c r="R60" t="s">
        <v>5</v>
      </c>
      <c r="S60">
        <v>5</v>
      </c>
      <c r="T60">
        <v>4212.0200000000004</v>
      </c>
      <c r="U60">
        <v>0</v>
      </c>
    </row>
    <row r="61" spans="1:21">
      <c r="A61" t="s">
        <v>86</v>
      </c>
      <c r="B61" t="s">
        <v>17</v>
      </c>
      <c r="C61">
        <v>43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43</v>
      </c>
      <c r="N61">
        <v>6099.12</v>
      </c>
      <c r="O61">
        <v>0</v>
      </c>
      <c r="P61">
        <v>0</v>
      </c>
      <c r="Q61">
        <v>6099.12</v>
      </c>
      <c r="R61" t="s">
        <v>5</v>
      </c>
      <c r="S61">
        <v>5</v>
      </c>
      <c r="T61">
        <v>0</v>
      </c>
      <c r="U61">
        <v>0</v>
      </c>
    </row>
    <row r="62" spans="1:21">
      <c r="A62" t="s">
        <v>87</v>
      </c>
      <c r="B62" t="s">
        <v>33</v>
      </c>
      <c r="C62">
        <v>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13</v>
      </c>
      <c r="N62">
        <v>1708.07</v>
      </c>
      <c r="O62">
        <v>0</v>
      </c>
      <c r="P62">
        <v>0</v>
      </c>
      <c r="Q62">
        <v>1708.07</v>
      </c>
      <c r="R62" t="s">
        <v>5</v>
      </c>
      <c r="S62">
        <v>5</v>
      </c>
      <c r="T62">
        <v>0</v>
      </c>
      <c r="U62">
        <v>0</v>
      </c>
    </row>
    <row r="63" spans="1:21">
      <c r="A63" t="s">
        <v>88</v>
      </c>
      <c r="B63" t="s">
        <v>89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5</v>
      </c>
      <c r="S63">
        <v>5</v>
      </c>
      <c r="T63">
        <v>0</v>
      </c>
      <c r="U63">
        <v>0</v>
      </c>
    </row>
    <row r="64" spans="1:21">
      <c r="A64" t="s">
        <v>90</v>
      </c>
      <c r="B64" t="s">
        <v>13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 t="s">
        <v>5</v>
      </c>
      <c r="S64">
        <v>5</v>
      </c>
      <c r="T64">
        <v>0</v>
      </c>
      <c r="U64">
        <v>0</v>
      </c>
    </row>
    <row r="65" spans="1:21">
      <c r="A65" t="s">
        <v>91</v>
      </c>
      <c r="B65" t="s">
        <v>13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 t="s">
        <v>24</v>
      </c>
      <c r="S65">
        <v>5</v>
      </c>
      <c r="T65">
        <v>0</v>
      </c>
      <c r="U65">
        <v>0</v>
      </c>
    </row>
    <row r="66" spans="1:21">
      <c r="A66" t="s">
        <v>92</v>
      </c>
      <c r="B66" t="s">
        <v>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5</v>
      </c>
      <c r="S66">
        <v>5</v>
      </c>
      <c r="T66">
        <v>0</v>
      </c>
      <c r="U66">
        <v>0</v>
      </c>
    </row>
    <row r="67" spans="1:21">
      <c r="A67" t="s">
        <v>94</v>
      </c>
      <c r="B67" t="s">
        <v>93</v>
      </c>
      <c r="C67">
        <v>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</v>
      </c>
      <c r="N67">
        <v>649.5</v>
      </c>
      <c r="O67">
        <v>0</v>
      </c>
      <c r="P67">
        <v>0</v>
      </c>
      <c r="Q67">
        <v>649.5</v>
      </c>
      <c r="R67" t="s">
        <v>5</v>
      </c>
      <c r="S67">
        <v>5</v>
      </c>
      <c r="T67">
        <v>0</v>
      </c>
      <c r="U67">
        <v>0</v>
      </c>
    </row>
    <row r="68" spans="1:21">
      <c r="A68" t="s">
        <v>95</v>
      </c>
      <c r="B68" t="s">
        <v>64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 t="s">
        <v>5</v>
      </c>
      <c r="S68">
        <v>5</v>
      </c>
      <c r="T68">
        <v>0</v>
      </c>
      <c r="U68">
        <v>0</v>
      </c>
    </row>
    <row r="69" spans="1:21">
      <c r="A69" t="s">
        <v>96</v>
      </c>
      <c r="B69" t="s">
        <v>97</v>
      </c>
      <c r="C69">
        <v>113</v>
      </c>
      <c r="D69">
        <v>0</v>
      </c>
      <c r="E69">
        <v>0</v>
      </c>
      <c r="F69">
        <v>0</v>
      </c>
      <c r="G69">
        <v>85</v>
      </c>
      <c r="H69">
        <v>7</v>
      </c>
      <c r="I69">
        <v>0</v>
      </c>
      <c r="J69">
        <v>0</v>
      </c>
      <c r="K69">
        <v>0</v>
      </c>
      <c r="L69">
        <v>0</v>
      </c>
      <c r="M69">
        <v>21</v>
      </c>
      <c r="N69">
        <v>8253.52</v>
      </c>
      <c r="O69">
        <v>0</v>
      </c>
      <c r="P69">
        <v>9066.1</v>
      </c>
      <c r="Q69">
        <v>1533.84</v>
      </c>
      <c r="R69" t="s">
        <v>5</v>
      </c>
      <c r="S69">
        <v>5</v>
      </c>
      <c r="T69">
        <v>9519.41</v>
      </c>
      <c r="U69">
        <v>783.95</v>
      </c>
    </row>
    <row r="70" spans="1:21">
      <c r="A70" t="s">
        <v>98</v>
      </c>
      <c r="B70" t="s">
        <v>93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 t="s">
        <v>5</v>
      </c>
      <c r="S70">
        <v>5</v>
      </c>
      <c r="T70">
        <v>0</v>
      </c>
      <c r="U70">
        <v>0</v>
      </c>
    </row>
    <row r="71" spans="1:21">
      <c r="A71" t="s">
        <v>99</v>
      </c>
      <c r="B71" t="s">
        <v>93</v>
      </c>
      <c r="C71">
        <v>53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52</v>
      </c>
      <c r="N71">
        <v>10793.98</v>
      </c>
      <c r="O71">
        <v>0</v>
      </c>
      <c r="P71">
        <v>228.58</v>
      </c>
      <c r="Q71">
        <v>10590.32</v>
      </c>
      <c r="R71" t="s">
        <v>5</v>
      </c>
      <c r="S71">
        <v>5</v>
      </c>
      <c r="T71">
        <v>240.01</v>
      </c>
      <c r="U71">
        <v>0</v>
      </c>
    </row>
    <row r="72" spans="1:21">
      <c r="A72" t="s">
        <v>100</v>
      </c>
      <c r="B72" t="s">
        <v>93</v>
      </c>
      <c r="C72">
        <v>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9</v>
      </c>
      <c r="N72">
        <v>1458.54</v>
      </c>
      <c r="O72">
        <v>0</v>
      </c>
      <c r="P72">
        <v>0</v>
      </c>
      <c r="Q72">
        <v>1458.54</v>
      </c>
      <c r="R72" t="s">
        <v>5</v>
      </c>
      <c r="S72">
        <v>5</v>
      </c>
      <c r="T72">
        <v>0</v>
      </c>
      <c r="U72">
        <v>0</v>
      </c>
    </row>
    <row r="73" spans="1:21">
      <c r="A73" t="s">
        <v>101</v>
      </c>
      <c r="B73" t="s">
        <v>93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5</v>
      </c>
      <c r="S73">
        <v>5</v>
      </c>
      <c r="T73">
        <v>0</v>
      </c>
      <c r="U73">
        <v>0</v>
      </c>
    </row>
    <row r="74" spans="1:21">
      <c r="A74" t="s">
        <v>102</v>
      </c>
      <c r="B74" t="s">
        <v>103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5</v>
      </c>
      <c r="S74">
        <v>5</v>
      </c>
      <c r="T74">
        <v>0</v>
      </c>
      <c r="U74">
        <v>0</v>
      </c>
    </row>
    <row r="75" spans="1:21">
      <c r="A75" t="s">
        <v>104</v>
      </c>
      <c r="B75" t="s">
        <v>104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104</v>
      </c>
      <c r="S75">
        <v>0</v>
      </c>
      <c r="T75">
        <v>0</v>
      </c>
      <c r="U75">
        <v>0</v>
      </c>
    </row>
    <row r="76" spans="1:21">
      <c r="A76" t="s">
        <v>104</v>
      </c>
      <c r="B76" t="s">
        <v>104</v>
      </c>
      <c r="C76">
        <v>869</v>
      </c>
      <c r="D76">
        <v>207</v>
      </c>
      <c r="E76">
        <v>0</v>
      </c>
      <c r="F76">
        <v>146</v>
      </c>
      <c r="G76">
        <v>449</v>
      </c>
      <c r="H76">
        <v>0</v>
      </c>
      <c r="I76">
        <v>0</v>
      </c>
      <c r="J76">
        <v>0</v>
      </c>
      <c r="K76">
        <v>0</v>
      </c>
      <c r="L76">
        <v>0</v>
      </c>
      <c r="M76">
        <v>763</v>
      </c>
      <c r="N76">
        <v>117525.73</v>
      </c>
      <c r="O76">
        <v>25400.79</v>
      </c>
      <c r="P76">
        <v>53993.57</v>
      </c>
      <c r="Q76">
        <v>107958.26</v>
      </c>
      <c r="R76" t="s">
        <v>104</v>
      </c>
      <c r="S76">
        <v>0</v>
      </c>
      <c r="T76">
        <v>0</v>
      </c>
      <c r="U76">
        <v>0</v>
      </c>
    </row>
    <row r="77" spans="1:21">
      <c r="A77" t="s">
        <v>105</v>
      </c>
      <c r="B77" t="s">
        <v>104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104</v>
      </c>
      <c r="S77">
        <v>0</v>
      </c>
      <c r="T77">
        <v>0</v>
      </c>
      <c r="U77">
        <v>0</v>
      </c>
    </row>
    <row r="78" spans="1:21">
      <c r="A78" t="s">
        <v>104</v>
      </c>
      <c r="B78" t="s">
        <v>104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104</v>
      </c>
      <c r="S78">
        <v>0</v>
      </c>
      <c r="T78">
        <v>0</v>
      </c>
      <c r="U78">
        <v>0</v>
      </c>
    </row>
    <row r="79" spans="1:21">
      <c r="A79" t="s">
        <v>106</v>
      </c>
      <c r="B79" t="s">
        <v>104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104</v>
      </c>
      <c r="S79">
        <v>0</v>
      </c>
      <c r="T79">
        <v>0</v>
      </c>
      <c r="U79">
        <v>0</v>
      </c>
    </row>
    <row r="80" spans="1:21">
      <c r="A80" t="s">
        <v>107</v>
      </c>
      <c r="B80" t="s">
        <v>104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104</v>
      </c>
      <c r="S80">
        <v>0</v>
      </c>
      <c r="T80">
        <v>0</v>
      </c>
      <c r="U80">
        <v>0</v>
      </c>
    </row>
    <row r="81" spans="1:21">
      <c r="A81" t="s">
        <v>108</v>
      </c>
      <c r="B81" t="s">
        <v>104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104</v>
      </c>
      <c r="S81">
        <v>0</v>
      </c>
      <c r="T81">
        <v>0</v>
      </c>
      <c r="U81">
        <v>0</v>
      </c>
    </row>
    <row r="82" spans="1:21">
      <c r="A82" t="s">
        <v>109</v>
      </c>
      <c r="B82" t="s">
        <v>104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104</v>
      </c>
      <c r="S82">
        <v>0</v>
      </c>
      <c r="T82">
        <v>0</v>
      </c>
      <c r="U82">
        <v>0</v>
      </c>
    </row>
    <row r="83" spans="1:21">
      <c r="A83" t="s">
        <v>110</v>
      </c>
      <c r="B83" t="s">
        <v>104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104</v>
      </c>
      <c r="S83">
        <v>0</v>
      </c>
      <c r="T83">
        <v>0</v>
      </c>
      <c r="U83">
        <v>0</v>
      </c>
    </row>
    <row r="84" spans="1:21">
      <c r="A84" t="s">
        <v>111</v>
      </c>
      <c r="B84" t="s">
        <v>104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104</v>
      </c>
      <c r="S84">
        <v>0</v>
      </c>
      <c r="T84">
        <v>0</v>
      </c>
      <c r="U84">
        <v>0</v>
      </c>
    </row>
    <row r="85" spans="1:21">
      <c r="A85" t="s">
        <v>112</v>
      </c>
      <c r="B85" t="s">
        <v>104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104</v>
      </c>
      <c r="S85">
        <v>0</v>
      </c>
      <c r="T85">
        <v>0</v>
      </c>
      <c r="U85">
        <v>0</v>
      </c>
    </row>
    <row r="86" spans="1:21">
      <c r="A86" t="s">
        <v>113</v>
      </c>
      <c r="B86" t="s">
        <v>104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 t="s">
        <v>104</v>
      </c>
      <c r="S86">
        <v>0</v>
      </c>
      <c r="T86">
        <v>0</v>
      </c>
      <c r="U86">
        <v>0</v>
      </c>
    </row>
    <row r="87" spans="1:21">
      <c r="A87" t="s">
        <v>104</v>
      </c>
      <c r="B87" t="s">
        <v>104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104</v>
      </c>
      <c r="S87">
        <v>0</v>
      </c>
      <c r="T87">
        <v>0</v>
      </c>
      <c r="U87">
        <v>0</v>
      </c>
    </row>
    <row r="104" spans="1:9">
      <c r="A104" s="2" t="s">
        <v>120</v>
      </c>
      <c r="B104" s="2"/>
      <c r="C104" s="2"/>
      <c r="D104" s="2"/>
      <c r="E104" s="2"/>
      <c r="F104" s="2"/>
      <c r="G104" s="2"/>
      <c r="H104" s="2"/>
      <c r="I104" s="2"/>
    </row>
    <row r="105" spans="1:9">
      <c r="A105" s="2"/>
      <c r="B105" s="2"/>
      <c r="C105" s="2"/>
      <c r="D105" s="2"/>
      <c r="E105" s="2"/>
      <c r="F105" s="2"/>
      <c r="G105" s="2"/>
      <c r="H105" s="2"/>
      <c r="I105" s="2"/>
    </row>
    <row r="106" spans="1:9">
      <c r="A106" s="1" t="s">
        <v>121</v>
      </c>
      <c r="B106" s="1" t="s">
        <v>122</v>
      </c>
      <c r="C106" s="1" t="s">
        <v>123</v>
      </c>
      <c r="D106" s="1" t="s">
        <v>124</v>
      </c>
      <c r="E106" s="1" t="s">
        <v>125</v>
      </c>
      <c r="F106" s="1" t="s">
        <v>126</v>
      </c>
      <c r="G106" s="1" t="s">
        <v>127</v>
      </c>
      <c r="H106" s="1" t="s">
        <v>128</v>
      </c>
      <c r="I106" s="1" t="s">
        <v>129</v>
      </c>
    </row>
    <row r="107" spans="1:9">
      <c r="A107">
        <v>1</v>
      </c>
      <c r="B107" t="s">
        <v>130</v>
      </c>
      <c r="C107" t="s">
        <v>38</v>
      </c>
      <c r="D107" t="s">
        <v>131</v>
      </c>
      <c r="E107" t="s">
        <v>132</v>
      </c>
      <c r="F107" s="4">
        <v>46356</v>
      </c>
      <c r="G107">
        <v>49.49</v>
      </c>
      <c r="H107">
        <v>3</v>
      </c>
      <c r="I107">
        <v>148.47</v>
      </c>
    </row>
    <row r="110" spans="1:9">
      <c r="G110" t="s">
        <v>133</v>
      </c>
      <c r="I110">
        <v>148.47</v>
      </c>
    </row>
  </sheetData>
  <mergeCells count="8">
    <mergeCell ref="A6:U6"/>
    <mergeCell ref="A104:I104"/>
    <mergeCell ref="A105:I105"/>
    <mergeCell ref="A1:U1"/>
    <mergeCell ref="A2:U2"/>
    <mergeCell ref="A3:U3"/>
    <mergeCell ref="A4:U4"/>
    <mergeCell ref="A5:U5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XLS315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Sunderlal Enterprise</cp:lastModifiedBy>
  <dcterms:created xsi:type="dcterms:W3CDTF">2026-10-01T04:04:16Z</dcterms:created>
  <dcterms:modified xsi:type="dcterms:W3CDTF">2026-10-01T04:04:17Z</dcterms:modified>
</cp:coreProperties>
</file>