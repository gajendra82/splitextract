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10050"/>
  </bookViews>
  <sheets>
    <sheet name="XLS1556" sheetId="1" r:id="rId1"/>
  </sheets>
  <calcPr calcId="144525"/>
</workbook>
</file>

<file path=xl/calcChain.xml><?xml version="1.0" encoding="utf-8"?>
<calcChain xmlns="http://schemas.openxmlformats.org/spreadsheetml/2006/main">
  <c r="T7" i="1" l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<sst xmlns="http://schemas.openxmlformats.org/spreadsheetml/2006/main" count="122" uniqueCount="58">
  <si>
    <t>BONNISAN DROPS</t>
  </si>
  <si>
    <t>30 ML</t>
  </si>
  <si>
    <t>30049011</t>
  </si>
  <si>
    <t>BONNISAN-LIQUID</t>
  </si>
  <si>
    <t>100 ML</t>
  </si>
  <si>
    <t>BRESOL</t>
  </si>
  <si>
    <t>60 TAB</t>
  </si>
  <si>
    <t>BRESOL SYR 200ML</t>
  </si>
  <si>
    <t>200 ML</t>
  </si>
  <si>
    <t>CYSTONE</t>
  </si>
  <si>
    <t>CYSTONE SYP 200 ML</t>
  </si>
  <si>
    <t>300490</t>
  </si>
  <si>
    <t>CYSTONE-FORTE</t>
  </si>
  <si>
    <t>30 TAB</t>
  </si>
  <si>
    <t>EVECARE CAP</t>
  </si>
  <si>
    <t>30 CAP</t>
  </si>
  <si>
    <t>EVECARE FORTE</t>
  </si>
  <si>
    <t>10 TAB</t>
  </si>
  <si>
    <t>EVECARE SYRUP</t>
  </si>
  <si>
    <t>EVECARE-FORTE</t>
  </si>
  <si>
    <t>LIV-52 DROPS</t>
  </si>
  <si>
    <t>LIV-52 DS</t>
  </si>
  <si>
    <t>LIV-52-DS SYP</t>
  </si>
  <si>
    <t>LUKOL TAB</t>
  </si>
  <si>
    <t>MENTAT SYRUP</t>
  </si>
  <si>
    <t>PURIM</t>
  </si>
  <si>
    <t>RENALKA SYRUP</t>
  </si>
  <si>
    <t>SEPTILIN SYP</t>
  </si>
  <si>
    <t>SEPTILIN TAB</t>
  </si>
  <si>
    <t>SPEMAN</t>
  </si>
  <si>
    <t>V-GEL</t>
  </si>
  <si>
    <t>30 GM</t>
  </si>
  <si>
    <t/>
  </si>
  <si>
    <t>MR.Balance:        0.00</t>
  </si>
  <si>
    <t>OPENING :   95077.52</t>
  </si>
  <si>
    <t>PURCHASE :  100633.80</t>
  </si>
  <si>
    <t>SALES :   77277.95</t>
  </si>
  <si>
    <t>CL.STK.:  129560.39</t>
  </si>
  <si>
    <t>Opening On SaleRate:  107250.7</t>
  </si>
  <si>
    <t>Purchase On SaleRate:  113518.</t>
  </si>
  <si>
    <t>Closing On SaleRate:  146148.2</t>
  </si>
  <si>
    <t xml:space="preserve">NAVJEEVAN MEDICAL &amp; GEN. STORES         </t>
  </si>
  <si>
    <t>AT POST-KEDGAON,RLY.STATION,TAL-DAUND,   From : 01/09/26</t>
  </si>
  <si>
    <t>DIST-PUNE                                To : 30/09/26</t>
  </si>
  <si>
    <t>MOB-9890594955,9011936655               Report Date :  3-Oct-2026</t>
  </si>
  <si>
    <t>STOCK &amp; SALE STATEMENT</t>
  </si>
  <si>
    <t>Company Name : HIMALAYA DRUG-ZANDRA</t>
  </si>
  <si>
    <t>NEAR EXPIRY REPORT</t>
  </si>
  <si>
    <t>SrNo.</t>
  </si>
  <si>
    <t>Product</t>
  </si>
  <si>
    <t>Pack</t>
  </si>
  <si>
    <t>Comp</t>
  </si>
  <si>
    <t>Batch</t>
  </si>
  <si>
    <t>Expiry</t>
  </si>
  <si>
    <t>P.RATE</t>
  </si>
  <si>
    <t>Qty</t>
  </si>
  <si>
    <t>Amount</t>
  </si>
  <si>
    <t xml:space="preserve">Grand Total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</si>
</sst>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tabSelected="1" workbookViewId="0">
      <pane ySplit="7" topLeftCell="A8" activePane="bottomLeft" state="frozen"/>
      <selection pane="bottomLeft" activeCell="A8" sqref="A8:T8"/>
    </sheetView>
  </sheetViews>
  <sheetFormatPr defaultRowHeight="15" x14ac:dyDescent="0.25"/>
  <cols>
    <col min="1" max="1" width="29.28515625" bestFit="1" customWidth="1"/>
    <col min="2" max="2" width="7" bestFit="1" customWidth="1"/>
    <col min="3" max="3" width="9.7109375" bestFit="1" customWidth="1"/>
    <col min="4" max="4" width="8.42578125" bestFit="1" customWidth="1"/>
    <col min="5" max="5" width="9.28515625" bestFit="1" customWidth="1"/>
    <col min="6" max="6" width="8" bestFit="1" customWidth="1"/>
    <col min="7" max="7" width="8.85546875" bestFit="1" customWidth="1"/>
    <col min="8" max="8" width="7.42578125" bestFit="1" customWidth="1"/>
    <col min="9" max="9" width="7.28515625" bestFit="1" customWidth="1"/>
    <col min="10" max="10" width="8.140625" bestFit="1" customWidth="1"/>
    <col min="11" max="11" width="7.140625" bestFit="1" customWidth="1"/>
    <col min="12" max="12" width="10.140625" bestFit="1" customWidth="1"/>
    <col min="13" max="13" width="10" bestFit="1" customWidth="1"/>
    <col min="14" max="14" width="9" bestFit="1" customWidth="1"/>
    <col min="15" max="15" width="9.140625" bestFit="1" customWidth="1"/>
    <col min="16" max="16" width="10" bestFit="1" customWidth="1"/>
    <col min="17" max="17" width="10.140625" bestFit="1" customWidth="1"/>
    <col min="18" max="18" width="8.28515625" bestFit="1" customWidth="1"/>
    <col min="19" max="19" width="10.28515625" bestFit="1" customWidth="1"/>
    <col min="20" max="20" width="12.42578125" bestFit="1" customWidth="1"/>
  </cols>
  <sheetData>
    <row r="1" spans="1:20" x14ac:dyDescent="0.25">
      <c r="A1" s="2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2" t="s">
        <v>43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2" t="s">
        <v>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5">
      <c r="A5" s="3" t="s">
        <v>45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3" t="s">
        <v>46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1" t="str">
        <f>UPPER("name")</f>
        <v>NAME</v>
      </c>
      <c r="B7" s="1" t="str">
        <f>UPPER("pack")</f>
        <v>PACK</v>
      </c>
      <c r="C7" s="1" t="str">
        <f>UPPER("openstk")</f>
        <v>OPENSTK</v>
      </c>
      <c r="D7" s="1" t="str">
        <f>UPPER("purstk")</f>
        <v>PURSTK</v>
      </c>
      <c r="E7" s="1" t="str">
        <f>UPPER("purscm")</f>
        <v>PURSCM</v>
      </c>
      <c r="F7" s="1" t="str">
        <f>UPPER("crestk")</f>
        <v>CRESTK</v>
      </c>
      <c r="G7" s="1" t="str">
        <f>UPPER("salestk")</f>
        <v>SALESTK</v>
      </c>
      <c r="H7" s="1" t="str">
        <f>UPPER("slscm")</f>
        <v>SLSCM</v>
      </c>
      <c r="I7" s="1" t="str">
        <f>UPPER("ucstk")</f>
        <v>UCSTK</v>
      </c>
      <c r="J7" s="1" t="str">
        <f>UPPER("ucscm")</f>
        <v>UCSCM</v>
      </c>
      <c r="K7" s="1" t="str">
        <f>UPPER("dbstk")</f>
        <v>DBSTK</v>
      </c>
      <c r="L7" s="1" t="str">
        <f>UPPER("closestk")</f>
        <v>CLOSESTK</v>
      </c>
      <c r="M7" s="1" t="str">
        <f>UPPER("openval")</f>
        <v>OPENVAL</v>
      </c>
      <c r="N7" s="1" t="str">
        <f>UPPER("purval")</f>
        <v>PURVAL</v>
      </c>
      <c r="O7" s="1" t="str">
        <f>UPPER("saleval")</f>
        <v>SALEVAL</v>
      </c>
      <c r="P7" s="1" t="str">
        <f>UPPER("clsval")</f>
        <v>CLSVAL</v>
      </c>
      <c r="Q7" s="1" t="str">
        <f>UPPER("hsncode")</f>
        <v>HSNCODE</v>
      </c>
      <c r="R7" s="1" t="str">
        <f>UPPER("taxper")</f>
        <v>TAXPER</v>
      </c>
      <c r="S7" s="1" t="str">
        <f>UPPER("slgstval")</f>
        <v>SLGSTVAL</v>
      </c>
      <c r="T7" s="1" t="str">
        <f>UPPER("scmgstval")</f>
        <v>SCMGSTVAL</v>
      </c>
    </row>
    <row r="8" spans="1:20" x14ac:dyDescent="0.25">
      <c r="A8" t="s">
        <v>0</v>
      </c>
      <c r="B8" t="s">
        <v>1</v>
      </c>
      <c r="C8">
        <v>50</v>
      </c>
      <c r="D8">
        <v>48</v>
      </c>
      <c r="E8">
        <v>2</v>
      </c>
      <c r="F8">
        <v>0</v>
      </c>
      <c r="G8">
        <v>37</v>
      </c>
      <c r="H8">
        <v>0</v>
      </c>
      <c r="I8">
        <v>0</v>
      </c>
      <c r="J8">
        <v>0</v>
      </c>
      <c r="K8">
        <v>0</v>
      </c>
      <c r="L8">
        <v>63</v>
      </c>
      <c r="M8">
        <v>3309.5</v>
      </c>
      <c r="N8">
        <v>3177.12</v>
      </c>
      <c r="O8">
        <v>2762.42</v>
      </c>
      <c r="P8">
        <v>4169.97</v>
      </c>
      <c r="Q8" t="s">
        <v>2</v>
      </c>
      <c r="R8">
        <v>5</v>
      </c>
      <c r="S8">
        <v>2900.54</v>
      </c>
      <c r="T8">
        <v>0</v>
      </c>
    </row>
    <row r="9" spans="1:20" x14ac:dyDescent="0.25">
      <c r="A9" t="s">
        <v>3</v>
      </c>
      <c r="B9" t="s">
        <v>4</v>
      </c>
      <c r="C9">
        <v>25</v>
      </c>
      <c r="D9">
        <v>0</v>
      </c>
      <c r="E9">
        <v>0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>
        <v>22</v>
      </c>
      <c r="M9">
        <v>1502.5</v>
      </c>
      <c r="N9">
        <v>0</v>
      </c>
      <c r="O9">
        <v>203.4</v>
      </c>
      <c r="P9">
        <v>1322.2</v>
      </c>
      <c r="Q9" t="s">
        <v>2</v>
      </c>
      <c r="R9">
        <v>5</v>
      </c>
      <c r="S9">
        <v>213.57</v>
      </c>
      <c r="T9">
        <v>0</v>
      </c>
    </row>
    <row r="10" spans="1:20" x14ac:dyDescent="0.25">
      <c r="A10" t="s">
        <v>5</v>
      </c>
      <c r="B10" t="s">
        <v>6</v>
      </c>
      <c r="C10">
        <v>6</v>
      </c>
      <c r="D10">
        <v>50</v>
      </c>
      <c r="E10">
        <v>0</v>
      </c>
      <c r="F10">
        <v>0</v>
      </c>
      <c r="G10">
        <v>6</v>
      </c>
      <c r="H10">
        <v>0</v>
      </c>
      <c r="I10">
        <v>0</v>
      </c>
      <c r="J10">
        <v>0</v>
      </c>
      <c r="K10">
        <v>0</v>
      </c>
      <c r="L10">
        <v>50</v>
      </c>
      <c r="M10">
        <v>1005.06</v>
      </c>
      <c r="N10">
        <v>8375.5</v>
      </c>
      <c r="O10">
        <v>1133.76</v>
      </c>
      <c r="P10">
        <v>8375.5</v>
      </c>
      <c r="Q10" t="s">
        <v>2</v>
      </c>
      <c r="R10">
        <v>5</v>
      </c>
      <c r="S10">
        <v>1190.45</v>
      </c>
      <c r="T10">
        <v>0</v>
      </c>
    </row>
    <row r="11" spans="1:20" x14ac:dyDescent="0.25">
      <c r="A11" t="s">
        <v>7</v>
      </c>
      <c r="B11" t="s">
        <v>8</v>
      </c>
      <c r="C11">
        <v>28</v>
      </c>
      <c r="D11">
        <v>28</v>
      </c>
      <c r="E11">
        <v>0</v>
      </c>
      <c r="F11">
        <v>0</v>
      </c>
      <c r="G11">
        <v>20</v>
      </c>
      <c r="H11">
        <v>0</v>
      </c>
      <c r="I11">
        <v>0</v>
      </c>
      <c r="J11">
        <v>0</v>
      </c>
      <c r="K11">
        <v>0</v>
      </c>
      <c r="L11">
        <v>36</v>
      </c>
      <c r="M11">
        <v>4065.88</v>
      </c>
      <c r="N11">
        <v>4065.88</v>
      </c>
      <c r="O11">
        <v>3276</v>
      </c>
      <c r="P11">
        <v>5227.5600000000004</v>
      </c>
      <c r="Q11" t="s">
        <v>2</v>
      </c>
      <c r="R11">
        <v>5</v>
      </c>
      <c r="S11">
        <v>3439.8</v>
      </c>
      <c r="T11">
        <v>0</v>
      </c>
    </row>
    <row r="12" spans="1:20" x14ac:dyDescent="0.25">
      <c r="A12" t="s">
        <v>9</v>
      </c>
      <c r="B12" t="s">
        <v>6</v>
      </c>
      <c r="C12">
        <v>10</v>
      </c>
      <c r="D12">
        <v>97</v>
      </c>
      <c r="E12">
        <v>3</v>
      </c>
      <c r="F12">
        <v>0</v>
      </c>
      <c r="G12">
        <v>30</v>
      </c>
      <c r="H12">
        <v>0</v>
      </c>
      <c r="I12">
        <v>0</v>
      </c>
      <c r="J12">
        <v>0</v>
      </c>
      <c r="K12">
        <v>0</v>
      </c>
      <c r="L12">
        <v>80</v>
      </c>
      <c r="M12">
        <v>1641.3</v>
      </c>
      <c r="N12">
        <v>15920.61</v>
      </c>
      <c r="O12">
        <v>5554.2</v>
      </c>
      <c r="P12">
        <v>13130.4</v>
      </c>
      <c r="Q12" t="s">
        <v>2</v>
      </c>
      <c r="R12">
        <v>5</v>
      </c>
      <c r="S12">
        <v>5831.91</v>
      </c>
      <c r="T12">
        <v>0</v>
      </c>
    </row>
    <row r="13" spans="1:20" x14ac:dyDescent="0.25">
      <c r="A13" t="s">
        <v>10</v>
      </c>
      <c r="B13" t="s">
        <v>8</v>
      </c>
      <c r="C13">
        <v>6</v>
      </c>
      <c r="D13">
        <v>27</v>
      </c>
      <c r="E13">
        <v>1</v>
      </c>
      <c r="F13">
        <v>0</v>
      </c>
      <c r="G13">
        <v>3</v>
      </c>
      <c r="H13">
        <v>0</v>
      </c>
      <c r="I13">
        <v>0</v>
      </c>
      <c r="J13">
        <v>0</v>
      </c>
      <c r="K13">
        <v>0</v>
      </c>
      <c r="L13">
        <v>31</v>
      </c>
      <c r="M13">
        <v>1098.24</v>
      </c>
      <c r="N13">
        <v>4942.08</v>
      </c>
      <c r="O13">
        <v>619.44000000000005</v>
      </c>
      <c r="P13">
        <v>5674.24</v>
      </c>
      <c r="Q13" t="s">
        <v>11</v>
      </c>
      <c r="R13">
        <v>5</v>
      </c>
      <c r="S13">
        <v>650.41</v>
      </c>
      <c r="T13">
        <v>0</v>
      </c>
    </row>
    <row r="14" spans="1:20" x14ac:dyDescent="0.25">
      <c r="A14" t="s">
        <v>12</v>
      </c>
      <c r="B14" t="s">
        <v>13</v>
      </c>
      <c r="C14">
        <v>27</v>
      </c>
      <c r="D14">
        <v>0</v>
      </c>
      <c r="E14">
        <v>0</v>
      </c>
      <c r="F14">
        <v>0</v>
      </c>
      <c r="G14">
        <v>20</v>
      </c>
      <c r="H14">
        <v>0</v>
      </c>
      <c r="I14">
        <v>0</v>
      </c>
      <c r="J14">
        <v>0</v>
      </c>
      <c r="K14">
        <v>0</v>
      </c>
      <c r="L14">
        <v>7</v>
      </c>
      <c r="M14">
        <v>2899.53</v>
      </c>
      <c r="N14">
        <v>0</v>
      </c>
      <c r="O14">
        <v>2422.8000000000002</v>
      </c>
      <c r="P14">
        <v>751.73</v>
      </c>
      <c r="Q14" t="s">
        <v>2</v>
      </c>
      <c r="R14">
        <v>5</v>
      </c>
      <c r="S14">
        <v>2543.94</v>
      </c>
      <c r="T14">
        <v>0</v>
      </c>
    </row>
    <row r="15" spans="1:20" x14ac:dyDescent="0.25">
      <c r="A15" t="s">
        <v>14</v>
      </c>
      <c r="B15" t="s">
        <v>15</v>
      </c>
      <c r="C15">
        <v>24</v>
      </c>
      <c r="D15">
        <v>0</v>
      </c>
      <c r="E15">
        <v>0</v>
      </c>
      <c r="F15">
        <v>0</v>
      </c>
      <c r="G15">
        <v>4</v>
      </c>
      <c r="H15">
        <v>0</v>
      </c>
      <c r="I15">
        <v>0</v>
      </c>
      <c r="J15">
        <v>0</v>
      </c>
      <c r="K15">
        <v>0</v>
      </c>
      <c r="L15">
        <v>20</v>
      </c>
      <c r="M15">
        <v>3939.12</v>
      </c>
      <c r="N15">
        <v>0</v>
      </c>
      <c r="O15">
        <v>740.56</v>
      </c>
      <c r="P15">
        <v>3282.6</v>
      </c>
      <c r="Q15" t="s">
        <v>2</v>
      </c>
      <c r="R15">
        <v>5</v>
      </c>
      <c r="S15">
        <v>777.59</v>
      </c>
      <c r="T15">
        <v>0</v>
      </c>
    </row>
    <row r="16" spans="1:20" x14ac:dyDescent="0.25">
      <c r="A16" t="s">
        <v>16</v>
      </c>
      <c r="B16" t="s">
        <v>17</v>
      </c>
      <c r="C16">
        <v>63</v>
      </c>
      <c r="D16">
        <v>0</v>
      </c>
      <c r="E16">
        <v>0</v>
      </c>
      <c r="F16">
        <v>0</v>
      </c>
      <c r="G16">
        <v>6</v>
      </c>
      <c r="H16">
        <v>0</v>
      </c>
      <c r="I16">
        <v>0</v>
      </c>
      <c r="J16">
        <v>0</v>
      </c>
      <c r="K16">
        <v>0</v>
      </c>
      <c r="L16">
        <v>57</v>
      </c>
      <c r="M16">
        <v>4084.92</v>
      </c>
      <c r="N16">
        <v>0</v>
      </c>
      <c r="O16">
        <v>438.84</v>
      </c>
      <c r="P16">
        <v>3695.88</v>
      </c>
      <c r="Q16" t="s">
        <v>2</v>
      </c>
      <c r="R16">
        <v>5</v>
      </c>
      <c r="S16">
        <v>460.78</v>
      </c>
      <c r="T16">
        <v>0</v>
      </c>
    </row>
    <row r="17" spans="1:20" x14ac:dyDescent="0.25">
      <c r="A17" t="s">
        <v>18</v>
      </c>
      <c r="B17" t="s">
        <v>8</v>
      </c>
      <c r="C17">
        <v>32</v>
      </c>
      <c r="D17">
        <v>27</v>
      </c>
      <c r="E17">
        <v>1</v>
      </c>
      <c r="F17">
        <v>0</v>
      </c>
      <c r="G17">
        <v>33</v>
      </c>
      <c r="H17">
        <v>0</v>
      </c>
      <c r="I17">
        <v>0</v>
      </c>
      <c r="J17">
        <v>0</v>
      </c>
      <c r="K17">
        <v>0</v>
      </c>
      <c r="L17">
        <v>27</v>
      </c>
      <c r="M17">
        <v>4646.72</v>
      </c>
      <c r="N17">
        <v>3920.67</v>
      </c>
      <c r="O17">
        <v>5405.4</v>
      </c>
      <c r="P17">
        <v>3920.67</v>
      </c>
      <c r="Q17" t="s">
        <v>2</v>
      </c>
      <c r="R17">
        <v>5</v>
      </c>
      <c r="S17">
        <v>5675.67</v>
      </c>
      <c r="T17">
        <v>0</v>
      </c>
    </row>
    <row r="18" spans="1:20" x14ac:dyDescent="0.25">
      <c r="A18" t="s">
        <v>19</v>
      </c>
      <c r="B18" t="s">
        <v>8</v>
      </c>
      <c r="C18">
        <v>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</v>
      </c>
      <c r="M18">
        <v>1388.64</v>
      </c>
      <c r="N18">
        <v>0</v>
      </c>
      <c r="O18">
        <v>0</v>
      </c>
      <c r="P18">
        <v>1388.64</v>
      </c>
      <c r="Q18" t="s">
        <v>2</v>
      </c>
      <c r="R18">
        <v>5</v>
      </c>
      <c r="S18">
        <v>0</v>
      </c>
      <c r="T18">
        <v>0</v>
      </c>
    </row>
    <row r="19" spans="1:20" x14ac:dyDescent="0.25">
      <c r="A19" t="s">
        <v>20</v>
      </c>
      <c r="B19" t="s">
        <v>4</v>
      </c>
      <c r="C19">
        <v>58</v>
      </c>
      <c r="D19">
        <v>56</v>
      </c>
      <c r="E19">
        <v>0</v>
      </c>
      <c r="F19">
        <v>1</v>
      </c>
      <c r="G19">
        <v>58</v>
      </c>
      <c r="H19">
        <v>0</v>
      </c>
      <c r="I19">
        <v>0</v>
      </c>
      <c r="J19">
        <v>0</v>
      </c>
      <c r="K19">
        <v>0</v>
      </c>
      <c r="L19">
        <v>57</v>
      </c>
      <c r="M19">
        <v>7874.08</v>
      </c>
      <c r="N19">
        <v>7602.56</v>
      </c>
      <c r="O19">
        <v>8882.1200000000008</v>
      </c>
      <c r="P19">
        <v>7738.32</v>
      </c>
      <c r="Q19" t="s">
        <v>2</v>
      </c>
      <c r="R19">
        <v>5</v>
      </c>
      <c r="S19">
        <v>9326.23</v>
      </c>
      <c r="T19">
        <v>0</v>
      </c>
    </row>
    <row r="20" spans="1:20" x14ac:dyDescent="0.25">
      <c r="A20" t="s">
        <v>21</v>
      </c>
      <c r="B20" t="s">
        <v>6</v>
      </c>
      <c r="C20">
        <v>51</v>
      </c>
      <c r="D20">
        <v>100</v>
      </c>
      <c r="E20">
        <v>0</v>
      </c>
      <c r="F20">
        <v>0</v>
      </c>
      <c r="G20">
        <v>57</v>
      </c>
      <c r="H20">
        <v>0</v>
      </c>
      <c r="I20">
        <v>0</v>
      </c>
      <c r="J20">
        <v>0</v>
      </c>
      <c r="K20">
        <v>0</v>
      </c>
      <c r="L20">
        <v>94</v>
      </c>
      <c r="M20">
        <v>9679.7999999999993</v>
      </c>
      <c r="N20">
        <v>18980</v>
      </c>
      <c r="O20">
        <v>12203.7</v>
      </c>
      <c r="P20">
        <v>17841.2</v>
      </c>
      <c r="Q20" t="s">
        <v>2</v>
      </c>
      <c r="R20">
        <v>5</v>
      </c>
      <c r="S20">
        <v>12813.89</v>
      </c>
      <c r="T20">
        <v>0</v>
      </c>
    </row>
    <row r="21" spans="1:20" x14ac:dyDescent="0.25">
      <c r="A21" t="s">
        <v>22</v>
      </c>
      <c r="B21" t="s">
        <v>4</v>
      </c>
      <c r="C21">
        <v>70</v>
      </c>
      <c r="D21">
        <v>0</v>
      </c>
      <c r="E21">
        <v>0</v>
      </c>
      <c r="F21">
        <v>0</v>
      </c>
      <c r="G21">
        <v>50</v>
      </c>
      <c r="H21">
        <v>0</v>
      </c>
      <c r="I21">
        <v>0</v>
      </c>
      <c r="J21">
        <v>0</v>
      </c>
      <c r="K21">
        <v>0</v>
      </c>
      <c r="L21">
        <v>20</v>
      </c>
      <c r="M21">
        <v>10637.2</v>
      </c>
      <c r="N21">
        <v>0</v>
      </c>
      <c r="O21">
        <v>8571</v>
      </c>
      <c r="P21">
        <v>3039.2</v>
      </c>
      <c r="Q21" t="s">
        <v>2</v>
      </c>
      <c r="R21">
        <v>5</v>
      </c>
      <c r="S21">
        <v>8999.5499999999993</v>
      </c>
      <c r="T21">
        <v>0</v>
      </c>
    </row>
    <row r="22" spans="1:20" x14ac:dyDescent="0.25">
      <c r="A22" t="s">
        <v>22</v>
      </c>
      <c r="B22" t="s">
        <v>8</v>
      </c>
      <c r="C22">
        <v>8</v>
      </c>
      <c r="D22">
        <v>0</v>
      </c>
      <c r="E22">
        <v>0</v>
      </c>
      <c r="F22">
        <v>3</v>
      </c>
      <c r="G22">
        <v>3</v>
      </c>
      <c r="H22">
        <v>0</v>
      </c>
      <c r="I22">
        <v>0</v>
      </c>
      <c r="J22">
        <v>0</v>
      </c>
      <c r="K22">
        <v>0</v>
      </c>
      <c r="L22">
        <v>8</v>
      </c>
      <c r="M22">
        <v>1584.56</v>
      </c>
      <c r="N22">
        <v>0</v>
      </c>
      <c r="O22">
        <v>670.29</v>
      </c>
      <c r="P22">
        <v>1584.56</v>
      </c>
      <c r="Q22" t="s">
        <v>2</v>
      </c>
      <c r="R22">
        <v>5</v>
      </c>
      <c r="S22">
        <v>703.8</v>
      </c>
      <c r="T22">
        <v>0</v>
      </c>
    </row>
    <row r="23" spans="1:20" x14ac:dyDescent="0.25">
      <c r="A23" t="s">
        <v>23</v>
      </c>
      <c r="B23" t="s">
        <v>6</v>
      </c>
      <c r="C23">
        <v>58</v>
      </c>
      <c r="D23">
        <v>0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  <c r="K23">
        <v>0</v>
      </c>
      <c r="L23">
        <v>56</v>
      </c>
      <c r="M23">
        <v>9911.0400000000009</v>
      </c>
      <c r="N23">
        <v>0</v>
      </c>
      <c r="O23">
        <v>385.52</v>
      </c>
      <c r="P23">
        <v>9569.2800000000007</v>
      </c>
      <c r="Q23" t="s">
        <v>2</v>
      </c>
      <c r="R23">
        <v>5</v>
      </c>
      <c r="S23">
        <v>404.8</v>
      </c>
      <c r="T23">
        <v>0</v>
      </c>
    </row>
    <row r="24" spans="1:20" x14ac:dyDescent="0.25">
      <c r="A24" t="s">
        <v>24</v>
      </c>
      <c r="B24" t="s">
        <v>8</v>
      </c>
      <c r="C24">
        <v>28</v>
      </c>
      <c r="D24">
        <v>0</v>
      </c>
      <c r="E24">
        <v>0</v>
      </c>
      <c r="F24">
        <v>0</v>
      </c>
      <c r="G24">
        <v>4</v>
      </c>
      <c r="H24">
        <v>0</v>
      </c>
      <c r="I24">
        <v>0</v>
      </c>
      <c r="J24">
        <v>0</v>
      </c>
      <c r="K24">
        <v>0</v>
      </c>
      <c r="L24">
        <v>24</v>
      </c>
      <c r="M24">
        <v>4860.24</v>
      </c>
      <c r="N24">
        <v>0</v>
      </c>
      <c r="O24">
        <v>783.2</v>
      </c>
      <c r="P24">
        <v>4165.92</v>
      </c>
      <c r="Q24" t="s">
        <v>2</v>
      </c>
      <c r="R24">
        <v>5</v>
      </c>
      <c r="S24">
        <v>822.36</v>
      </c>
      <c r="T24">
        <v>0</v>
      </c>
    </row>
    <row r="25" spans="1:20" x14ac:dyDescent="0.25">
      <c r="A25" t="s">
        <v>25</v>
      </c>
      <c r="B25" t="s">
        <v>6</v>
      </c>
      <c r="C25">
        <v>24</v>
      </c>
      <c r="D25">
        <v>0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22</v>
      </c>
      <c r="M25">
        <v>2885.52</v>
      </c>
      <c r="N25">
        <v>0</v>
      </c>
      <c r="O25">
        <v>271.24</v>
      </c>
      <c r="P25">
        <v>2645.06</v>
      </c>
      <c r="Q25" t="s">
        <v>2</v>
      </c>
      <c r="R25">
        <v>5</v>
      </c>
      <c r="S25">
        <v>284.8</v>
      </c>
      <c r="T25">
        <v>0</v>
      </c>
    </row>
    <row r="26" spans="1:20" x14ac:dyDescent="0.25">
      <c r="A26" t="s">
        <v>26</v>
      </c>
      <c r="B26" t="s">
        <v>4</v>
      </c>
      <c r="C26">
        <v>99</v>
      </c>
      <c r="D26">
        <v>168</v>
      </c>
      <c r="E26">
        <v>0</v>
      </c>
      <c r="F26">
        <v>0</v>
      </c>
      <c r="G26">
        <v>131</v>
      </c>
      <c r="H26">
        <v>0</v>
      </c>
      <c r="I26">
        <v>0</v>
      </c>
      <c r="J26">
        <v>0</v>
      </c>
      <c r="K26">
        <v>0</v>
      </c>
      <c r="L26">
        <v>136</v>
      </c>
      <c r="M26">
        <v>7489.35</v>
      </c>
      <c r="N26">
        <v>12709.2</v>
      </c>
      <c r="O26">
        <v>11179.54</v>
      </c>
      <c r="P26">
        <v>10288.4</v>
      </c>
      <c r="Q26" t="s">
        <v>2</v>
      </c>
      <c r="R26">
        <v>5</v>
      </c>
      <c r="S26">
        <v>11738.52</v>
      </c>
      <c r="T26">
        <v>0</v>
      </c>
    </row>
    <row r="27" spans="1:20" x14ac:dyDescent="0.25">
      <c r="A27" t="s">
        <v>27</v>
      </c>
      <c r="B27" t="s">
        <v>8</v>
      </c>
      <c r="C27">
        <v>37</v>
      </c>
      <c r="D27">
        <v>27</v>
      </c>
      <c r="E27">
        <v>1</v>
      </c>
      <c r="F27">
        <v>0</v>
      </c>
      <c r="G27">
        <v>24</v>
      </c>
      <c r="H27">
        <v>0</v>
      </c>
      <c r="I27">
        <v>0</v>
      </c>
      <c r="J27">
        <v>0</v>
      </c>
      <c r="K27">
        <v>0</v>
      </c>
      <c r="L27">
        <v>41</v>
      </c>
      <c r="M27">
        <v>5622.52</v>
      </c>
      <c r="N27">
        <v>4102.92</v>
      </c>
      <c r="O27">
        <v>4114.08</v>
      </c>
      <c r="P27">
        <v>6230.36</v>
      </c>
      <c r="Q27" t="s">
        <v>2</v>
      </c>
      <c r="R27">
        <v>5</v>
      </c>
      <c r="S27">
        <v>4319.78</v>
      </c>
      <c r="T27">
        <v>0</v>
      </c>
    </row>
    <row r="28" spans="1:20" x14ac:dyDescent="0.25">
      <c r="A28" t="s">
        <v>28</v>
      </c>
      <c r="B28" t="s">
        <v>6</v>
      </c>
      <c r="C28">
        <v>0</v>
      </c>
      <c r="D28">
        <v>97</v>
      </c>
      <c r="E28">
        <v>3</v>
      </c>
      <c r="F28">
        <v>0</v>
      </c>
      <c r="G28">
        <v>33</v>
      </c>
      <c r="H28">
        <v>0</v>
      </c>
      <c r="I28">
        <v>0</v>
      </c>
      <c r="J28">
        <v>0</v>
      </c>
      <c r="K28">
        <v>0</v>
      </c>
      <c r="L28">
        <v>67</v>
      </c>
      <c r="M28">
        <v>0</v>
      </c>
      <c r="N28">
        <v>16837.259999999998</v>
      </c>
      <c r="O28">
        <v>6461.4</v>
      </c>
      <c r="P28">
        <v>11629.86</v>
      </c>
      <c r="Q28" t="s">
        <v>2</v>
      </c>
      <c r="R28">
        <v>5</v>
      </c>
      <c r="S28">
        <v>6784.47</v>
      </c>
      <c r="T28">
        <v>0</v>
      </c>
    </row>
    <row r="29" spans="1:20" x14ac:dyDescent="0.25">
      <c r="A29" t="s">
        <v>29</v>
      </c>
      <c r="B29" t="s">
        <v>6</v>
      </c>
      <c r="C29">
        <v>12</v>
      </c>
      <c r="D29">
        <v>0</v>
      </c>
      <c r="E29">
        <v>0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>
        <v>8</v>
      </c>
      <c r="M29">
        <v>2013.6</v>
      </c>
      <c r="N29">
        <v>0</v>
      </c>
      <c r="O29">
        <v>757.12</v>
      </c>
      <c r="P29">
        <v>1342.4</v>
      </c>
      <c r="Q29" t="s">
        <v>2</v>
      </c>
      <c r="R29">
        <v>5</v>
      </c>
      <c r="S29">
        <v>794.98</v>
      </c>
      <c r="T29">
        <v>0</v>
      </c>
    </row>
    <row r="30" spans="1:20" x14ac:dyDescent="0.25">
      <c r="A30" t="s">
        <v>30</v>
      </c>
      <c r="B30" t="s">
        <v>31</v>
      </c>
      <c r="C30">
        <v>30</v>
      </c>
      <c r="D30">
        <v>0</v>
      </c>
      <c r="E30">
        <v>0</v>
      </c>
      <c r="F30">
        <v>0</v>
      </c>
      <c r="G30">
        <v>4</v>
      </c>
      <c r="H30">
        <v>0</v>
      </c>
      <c r="I30">
        <v>0</v>
      </c>
      <c r="J30">
        <v>0</v>
      </c>
      <c r="K30">
        <v>0</v>
      </c>
      <c r="L30">
        <v>26</v>
      </c>
      <c r="M30">
        <v>2938.2</v>
      </c>
      <c r="N30">
        <v>0</v>
      </c>
      <c r="O30">
        <v>441.92</v>
      </c>
      <c r="P30">
        <v>2546.44</v>
      </c>
      <c r="Q30" t="s">
        <v>2</v>
      </c>
      <c r="R30">
        <v>5</v>
      </c>
      <c r="S30">
        <v>464.02</v>
      </c>
      <c r="T30">
        <v>0</v>
      </c>
    </row>
    <row r="31" spans="1:20" x14ac:dyDescent="0.25">
      <c r="A31" t="s">
        <v>32</v>
      </c>
      <c r="B31" t="s">
        <v>32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32</v>
      </c>
      <c r="R31">
        <v>0</v>
      </c>
      <c r="S31">
        <v>0</v>
      </c>
      <c r="T31">
        <v>0</v>
      </c>
    </row>
    <row r="32" spans="1:20" x14ac:dyDescent="0.25">
      <c r="A32" t="s">
        <v>32</v>
      </c>
      <c r="B32" t="s">
        <v>32</v>
      </c>
      <c r="C32">
        <v>754</v>
      </c>
      <c r="D32">
        <v>725</v>
      </c>
      <c r="E32">
        <v>0</v>
      </c>
      <c r="F32">
        <v>4</v>
      </c>
      <c r="G32">
        <v>534</v>
      </c>
      <c r="H32">
        <v>0</v>
      </c>
      <c r="I32">
        <v>0</v>
      </c>
      <c r="J32">
        <v>0</v>
      </c>
      <c r="K32">
        <v>0</v>
      </c>
      <c r="L32">
        <v>960</v>
      </c>
      <c r="M32">
        <v>95077.52</v>
      </c>
      <c r="N32">
        <v>100633.8</v>
      </c>
      <c r="O32">
        <v>77277.95</v>
      </c>
      <c r="P32">
        <v>129560.39</v>
      </c>
      <c r="Q32" t="s">
        <v>32</v>
      </c>
      <c r="R32">
        <v>0</v>
      </c>
      <c r="S32">
        <v>0</v>
      </c>
      <c r="T32">
        <v>0</v>
      </c>
    </row>
    <row r="33" spans="1:20" x14ac:dyDescent="0.25">
      <c r="A33" t="s">
        <v>33</v>
      </c>
      <c r="B33" t="s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32</v>
      </c>
      <c r="R33">
        <v>0</v>
      </c>
      <c r="S33">
        <v>0</v>
      </c>
      <c r="T33">
        <v>0</v>
      </c>
    </row>
    <row r="34" spans="1:20" x14ac:dyDescent="0.25">
      <c r="A34" t="s">
        <v>32</v>
      </c>
      <c r="B34" t="s">
        <v>32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32</v>
      </c>
      <c r="R34">
        <v>0</v>
      </c>
      <c r="S34">
        <v>0</v>
      </c>
      <c r="T34">
        <v>0</v>
      </c>
    </row>
    <row r="35" spans="1:20" x14ac:dyDescent="0.25">
      <c r="A35" t="s">
        <v>34</v>
      </c>
      <c r="B35" t="s">
        <v>32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32</v>
      </c>
      <c r="R35">
        <v>0</v>
      </c>
      <c r="S35">
        <v>0</v>
      </c>
      <c r="T35">
        <v>0</v>
      </c>
    </row>
    <row r="36" spans="1:20" x14ac:dyDescent="0.25">
      <c r="A36" t="s">
        <v>35</v>
      </c>
      <c r="B36" t="s">
        <v>32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32</v>
      </c>
      <c r="R36">
        <v>0</v>
      </c>
      <c r="S36">
        <v>0</v>
      </c>
      <c r="T36">
        <v>0</v>
      </c>
    </row>
    <row r="37" spans="1:20" x14ac:dyDescent="0.25">
      <c r="A37" t="s">
        <v>36</v>
      </c>
      <c r="B37" t="s">
        <v>32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32</v>
      </c>
      <c r="R37">
        <v>0</v>
      </c>
      <c r="S37">
        <v>0</v>
      </c>
      <c r="T37">
        <v>0</v>
      </c>
    </row>
    <row r="38" spans="1:20" x14ac:dyDescent="0.25">
      <c r="A38" t="s">
        <v>37</v>
      </c>
      <c r="B38" t="s">
        <v>32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32</v>
      </c>
      <c r="R38">
        <v>0</v>
      </c>
      <c r="S38">
        <v>0</v>
      </c>
      <c r="T38">
        <v>0</v>
      </c>
    </row>
    <row r="39" spans="1:20" x14ac:dyDescent="0.25">
      <c r="A39" t="s">
        <v>38</v>
      </c>
      <c r="B39" t="s">
        <v>32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32</v>
      </c>
      <c r="R39">
        <v>0</v>
      </c>
      <c r="S39">
        <v>0</v>
      </c>
      <c r="T39">
        <v>0</v>
      </c>
    </row>
    <row r="40" spans="1:20" x14ac:dyDescent="0.25">
      <c r="A40" t="s">
        <v>39</v>
      </c>
      <c r="B40" t="s">
        <v>32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32</v>
      </c>
      <c r="R40">
        <v>0</v>
      </c>
      <c r="S40">
        <v>0</v>
      </c>
      <c r="T40">
        <v>0</v>
      </c>
    </row>
    <row r="41" spans="1:20" x14ac:dyDescent="0.25">
      <c r="A41" t="s">
        <v>40</v>
      </c>
      <c r="B41" t="s">
        <v>32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32</v>
      </c>
      <c r="R41">
        <v>0</v>
      </c>
      <c r="S41">
        <v>0</v>
      </c>
      <c r="T41">
        <v>0</v>
      </c>
    </row>
    <row r="42" spans="1:20" x14ac:dyDescent="0.25">
      <c r="A42" t="s">
        <v>32</v>
      </c>
      <c r="B42" t="s">
        <v>32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32</v>
      </c>
      <c r="R42">
        <v>0</v>
      </c>
      <c r="S42">
        <v>0</v>
      </c>
      <c r="T42">
        <v>0</v>
      </c>
    </row>
    <row r="60" spans="1:9" x14ac:dyDescent="0.25">
      <c r="A60" s="2" t="s">
        <v>47</v>
      </c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1" t="s">
        <v>48</v>
      </c>
      <c r="B62" s="1" t="s">
        <v>49</v>
      </c>
      <c r="C62" s="1" t="s">
        <v>50</v>
      </c>
      <c r="D62" s="1" t="s">
        <v>51</v>
      </c>
      <c r="E62" s="1" t="s">
        <v>52</v>
      </c>
      <c r="F62" s="1" t="s">
        <v>53</v>
      </c>
      <c r="G62" s="1" t="s">
        <v>54</v>
      </c>
      <c r="H62" s="1" t="s">
        <v>55</v>
      </c>
      <c r="I62" s="1" t="s">
        <v>56</v>
      </c>
    </row>
    <row r="65" spans="7:9" x14ac:dyDescent="0.25">
      <c r="G65" t="s">
        <v>57</v>
      </c>
      <c r="I65">
        <v>0</v>
      </c>
    </row>
  </sheetData>
  <mergeCells count="8">
    <mergeCell ref="A6:T6"/>
    <mergeCell ref="A60:I60"/>
    <mergeCell ref="A61:I61"/>
    <mergeCell ref="A1:T1"/>
    <mergeCell ref="A2:T2"/>
    <mergeCell ref="A3:T3"/>
    <mergeCell ref="A4:T4"/>
    <mergeCell ref="A5:T5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XLS1556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rohankunjir@outlook.com</cp:lastModifiedBy>
  <dcterms:created xsi:type="dcterms:W3CDTF">2026-10-03T08:03:48Z</dcterms:created>
  <dcterms:modified xsi:type="dcterms:W3CDTF">2026-10-03T08:03:49Z</dcterms:modified>
</cp:coreProperties>
</file>