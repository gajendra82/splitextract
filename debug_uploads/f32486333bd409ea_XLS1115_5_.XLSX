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AVAEXCL\"/>
    </mc:Choice>
  </mc:AlternateContent>
  <bookViews>
    <workbookView xWindow="0" yWindow="0" windowWidth="7068" windowHeight="4608"/>
  </bookViews>
  <sheets>
    <sheet name="XLS1115" sheetId="1" r:id="rId1"/>
  </sheets>
  <calcPr calcId="152511"/>
</workbook>
</file>

<file path=xl/calcChain.xml><?xml version="1.0" encoding="utf-8"?>
<calcChain xmlns="http://schemas.openxmlformats.org/spreadsheetml/2006/main">
  <c r="U7" i="1" l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</calcChain>
</file>

<file path=xl/sharedStrings.xml><?xml version="1.0" encoding="utf-8"?>
<sst xmlns="http://schemas.openxmlformats.org/spreadsheetml/2006/main" count="156" uniqueCount="85">
  <si>
    <t>AACTARIL SOAP</t>
  </si>
  <si>
    <t>SOAP</t>
  </si>
  <si>
    <t>34011110</t>
  </si>
  <si>
    <t>ABANA TAB</t>
  </si>
  <si>
    <t>100 TA</t>
  </si>
  <si>
    <t>30049099</t>
  </si>
  <si>
    <t>ALTHEA LOTION</t>
  </si>
  <si>
    <t>100 ML</t>
  </si>
  <si>
    <t>BLEMINOR ANTI CREAM</t>
  </si>
  <si>
    <t>30 ML</t>
  </si>
  <si>
    <t>30049011</t>
  </si>
  <si>
    <t>CLARINA ANTI ACNE CREAM</t>
  </si>
  <si>
    <t>30 GM</t>
  </si>
  <si>
    <t>CLARINA FACE WASH GEL</t>
  </si>
  <si>
    <t>60 ML</t>
  </si>
  <si>
    <t>33049990</t>
  </si>
  <si>
    <t>CONFIDO TAB</t>
  </si>
  <si>
    <t>60 TAB</t>
  </si>
  <si>
    <t>DIABECON DS TAB</t>
  </si>
  <si>
    <t>DIABECON TAB</t>
  </si>
  <si>
    <t>DIAREX SYP.</t>
  </si>
  <si>
    <t>DIAREX TAB</t>
  </si>
  <si>
    <t>30 TAB</t>
  </si>
  <si>
    <t>HADJOD TAB</t>
  </si>
  <si>
    <t>60TAB</t>
  </si>
  <si>
    <t>HAIR ZONE SOLU</t>
  </si>
  <si>
    <t>33059020</t>
  </si>
  <si>
    <t>HERBOLAX CAP</t>
  </si>
  <si>
    <t>10 CAP</t>
  </si>
  <si>
    <t>HERBOLAX TAB</t>
  </si>
  <si>
    <t>HIMCOLIN GEL</t>
  </si>
  <si>
    <t>30GM</t>
  </si>
  <si>
    <t>HIORA D TOOTHPASTE</t>
  </si>
  <si>
    <t>100GM</t>
  </si>
  <si>
    <t>33061020</t>
  </si>
  <si>
    <t>LIV 52 HB CAP</t>
  </si>
  <si>
    <t>LIV 52 SYP</t>
  </si>
  <si>
    <t>200ML</t>
  </si>
  <si>
    <t>100</t>
  </si>
  <si>
    <t>LIV 52 SYRUP SUGARFREE</t>
  </si>
  <si>
    <t>100ML</t>
  </si>
  <si>
    <t>LIV 52 TAB</t>
  </si>
  <si>
    <t>OPHTHACARE EYE DROPS</t>
  </si>
  <si>
    <t>10 ML</t>
  </si>
  <si>
    <t>ORO T ORAL RINSE LIQ</t>
  </si>
  <si>
    <t>PILEX FORTE OINT</t>
  </si>
  <si>
    <t/>
  </si>
  <si>
    <t>PILEX FORTE TAB</t>
  </si>
  <si>
    <t>PILEX TAB</t>
  </si>
  <si>
    <t>RENALKA SYP</t>
  </si>
  <si>
    <t>TALEKT SYRUP</t>
  </si>
  <si>
    <t>TALEKT TAB</t>
  </si>
  <si>
    <t>TENTEX FORTE TAB</t>
  </si>
  <si>
    <t>10 TAB</t>
  </si>
  <si>
    <t>MR.Balance:        0.00</t>
  </si>
  <si>
    <t>OPENING :  376153.46</t>
  </si>
  <si>
    <t>PURCHASE :       0.00</t>
  </si>
  <si>
    <t>SALES :   95792.40</t>
  </si>
  <si>
    <t>UC SALE :       0.00</t>
  </si>
  <si>
    <t>CL.STK.:  290703.27</t>
  </si>
  <si>
    <t>Opening On SaleRate:  416957.9</t>
  </si>
  <si>
    <t>Purchase On SaleRate:       0.</t>
  </si>
  <si>
    <t>Closing On SaleRate:  320987.5</t>
  </si>
  <si>
    <t xml:space="preserve">SANJIVANI AGENCIES                      </t>
  </si>
  <si>
    <t>C.S.NO-3780,H.NO-3587,GALA NO-2,         From : 01/09/26</t>
  </si>
  <si>
    <t>SANJIVANI PALACE,MANIK CHOWK,            To : 30/09/26</t>
  </si>
  <si>
    <t>AHILYANAGAR-414001                      Report Date : 28-Mar-2027</t>
  </si>
  <si>
    <t>STOCK &amp; SALE STATEMENT</t>
  </si>
  <si>
    <t>Company Name : HIMALAYA ZEAL DIV C</t>
  </si>
  <si>
    <t>NEAR EXPIRY REPORT</t>
  </si>
  <si>
    <t>SrNo.</t>
  </si>
  <si>
    <t>Product</t>
  </si>
  <si>
    <t>Pack</t>
  </si>
  <si>
    <t>Comp</t>
  </si>
  <si>
    <t>Batch</t>
  </si>
  <si>
    <t>Expiry</t>
  </si>
  <si>
    <t>P.RATE</t>
  </si>
  <si>
    <t>Qty</t>
  </si>
  <si>
    <t>Amount</t>
  </si>
  <si>
    <t xml:space="preserve">DIABECON TAB                  </t>
  </si>
  <si>
    <t>HIM</t>
  </si>
  <si>
    <t xml:space="preserve">SSK0151        </t>
  </si>
  <si>
    <t xml:space="preserve">LIV 52 SYRUP SUGARFREE        </t>
  </si>
  <si>
    <t xml:space="preserve">100ML </t>
  </si>
  <si>
    <t xml:space="preserve">Grand Total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</si>
</sst>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Views>
    <sheetView tabSelected="1" workbookViewId="0">
      <pane ySplit="7" topLeftCell="A8" activePane="bottomLeft" state="frozen"/>
      <selection pane="bottomLeft" activeCell="A8" sqref="A8:U8"/>
    </sheetView>
  </sheetViews>
  <sheetFormatPr defaultRowHeight="14.4" x14ac:dyDescent="0.3"/>
  <cols>
    <col min="1" max="1" width="27.44140625" bestFit="1" customWidth="1"/>
    <col min="2" max="2" width="7" bestFit="1" customWidth="1"/>
    <col min="3" max="3" width="9.44140625" bestFit="1" customWidth="1"/>
    <col min="4" max="4" width="8.21875" bestFit="1" customWidth="1"/>
    <col min="5" max="5" width="8.88671875" bestFit="1" customWidth="1"/>
    <col min="6" max="6" width="7.77734375" bestFit="1" customWidth="1"/>
    <col min="7" max="7" width="8.6640625" bestFit="1" customWidth="1"/>
    <col min="8" max="8" width="7.109375" bestFit="1" customWidth="1"/>
    <col min="9" max="9" width="7" bestFit="1" customWidth="1"/>
    <col min="10" max="10" width="7.6640625" bestFit="1" customWidth="1"/>
    <col min="11" max="11" width="8.33203125" bestFit="1" customWidth="1"/>
    <col min="12" max="12" width="7" bestFit="1" customWidth="1"/>
    <col min="13" max="13" width="9.77734375" bestFit="1" customWidth="1"/>
    <col min="14" max="14" width="10" bestFit="1" customWidth="1"/>
    <col min="15" max="15" width="8.5546875" bestFit="1" customWidth="1"/>
    <col min="16" max="16" width="9" bestFit="1" customWidth="1"/>
    <col min="17" max="17" width="10" bestFit="1" customWidth="1"/>
    <col min="18" max="18" width="9.6640625" bestFit="1" customWidth="1"/>
    <col min="19" max="19" width="8.21875" bestFit="1" customWidth="1"/>
    <col min="20" max="20" width="9.88671875" bestFit="1" customWidth="1"/>
    <col min="21" max="21" width="11.77734375" bestFit="1" customWidth="1"/>
  </cols>
  <sheetData>
    <row r="1" spans="1:21" x14ac:dyDescent="0.3">
      <c r="A1" s="2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s="2" t="s">
        <v>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3">
      <c r="A4" s="2" t="s">
        <v>66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3">
      <c r="A5" s="3" t="s">
        <v>67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3">
      <c r="A6" s="3" t="s">
        <v>68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3">
      <c r="A7" s="1" t="str">
        <f>UPPER("name")</f>
        <v>NAME</v>
      </c>
      <c r="B7" s="1" t="str">
        <f>UPPER("pack")</f>
        <v>PACK</v>
      </c>
      <c r="C7" s="1" t="str">
        <f>UPPER("openstk")</f>
        <v>OPENSTK</v>
      </c>
      <c r="D7" s="1" t="str">
        <f>UPPER("purstk")</f>
        <v>PURSTK</v>
      </c>
      <c r="E7" s="1" t="str">
        <f>UPPER("purscm")</f>
        <v>PURSCM</v>
      </c>
      <c r="F7" s="1" t="str">
        <f>UPPER("crestk")</f>
        <v>CRESTK</v>
      </c>
      <c r="G7" s="1" t="str">
        <f>UPPER("salestk")</f>
        <v>SALESTK</v>
      </c>
      <c r="H7" s="1" t="str">
        <f>UPPER("slscm")</f>
        <v>SLSCM</v>
      </c>
      <c r="I7" s="1" t="str">
        <f>UPPER("ucstk")</f>
        <v>UCSTK</v>
      </c>
      <c r="J7" s="1" t="str">
        <f>UPPER("ucscm")</f>
        <v>UCSCM</v>
      </c>
      <c r="K7" s="1" t="str">
        <f>UPPER("clmstk")</f>
        <v>CLMSTK</v>
      </c>
      <c r="L7" s="1" t="str">
        <f>UPPER("dbstk")</f>
        <v>DBSTK</v>
      </c>
      <c r="M7" s="1" t="str">
        <f>UPPER("closestk")</f>
        <v>CLOSESTK</v>
      </c>
      <c r="N7" s="1" t="str">
        <f>UPPER("openval")</f>
        <v>OPENVAL</v>
      </c>
      <c r="O7" s="1" t="str">
        <f>UPPER("purval")</f>
        <v>PURVAL</v>
      </c>
      <c r="P7" s="1" t="str">
        <f>UPPER("saleval")</f>
        <v>SALEVAL</v>
      </c>
      <c r="Q7" s="1" t="str">
        <f>UPPER("clsval")</f>
        <v>CLSVAL</v>
      </c>
      <c r="R7" s="1" t="str">
        <f>UPPER("hsncode")</f>
        <v>HSNCODE</v>
      </c>
      <c r="S7" s="1" t="str">
        <f>UPPER("taxper")</f>
        <v>TAXPER</v>
      </c>
      <c r="T7" s="1" t="str">
        <f>UPPER("slgstval")</f>
        <v>SLGSTVAL</v>
      </c>
      <c r="U7" s="1" t="str">
        <f>UPPER("scmgstval")</f>
        <v>SCMGSTVAL</v>
      </c>
    </row>
    <row r="8" spans="1:21" x14ac:dyDescent="0.3">
      <c r="A8" t="s">
        <v>0</v>
      </c>
      <c r="B8" t="s">
        <v>1</v>
      </c>
      <c r="C8">
        <v>20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19</v>
      </c>
      <c r="N8">
        <v>1553.6</v>
      </c>
      <c r="O8">
        <v>0</v>
      </c>
      <c r="P8">
        <v>87.62</v>
      </c>
      <c r="Q8">
        <v>1475.92</v>
      </c>
      <c r="R8" t="s">
        <v>2</v>
      </c>
      <c r="S8">
        <v>5</v>
      </c>
      <c r="T8">
        <v>92</v>
      </c>
      <c r="U8">
        <v>0</v>
      </c>
    </row>
    <row r="9" spans="1:21" x14ac:dyDescent="0.3">
      <c r="A9" t="s">
        <v>3</v>
      </c>
      <c r="B9" t="s">
        <v>4</v>
      </c>
      <c r="C9">
        <v>4</v>
      </c>
      <c r="D9">
        <v>0</v>
      </c>
      <c r="E9">
        <v>0</v>
      </c>
      <c r="F9">
        <v>0</v>
      </c>
      <c r="G9">
        <v>3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594.4</v>
      </c>
      <c r="O9">
        <v>0</v>
      </c>
      <c r="P9">
        <v>502.86</v>
      </c>
      <c r="Q9">
        <v>0</v>
      </c>
      <c r="R9" t="s">
        <v>5</v>
      </c>
      <c r="S9">
        <v>5</v>
      </c>
      <c r="T9">
        <v>528</v>
      </c>
      <c r="U9">
        <v>0</v>
      </c>
    </row>
    <row r="10" spans="1:21" x14ac:dyDescent="0.3">
      <c r="A10" t="s">
        <v>6</v>
      </c>
      <c r="B10" t="s">
        <v>7</v>
      </c>
      <c r="C10">
        <v>3</v>
      </c>
      <c r="D10">
        <v>0</v>
      </c>
      <c r="E10">
        <v>0</v>
      </c>
      <c r="F10">
        <v>0</v>
      </c>
      <c r="G10">
        <v>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492.39</v>
      </c>
      <c r="O10">
        <v>0</v>
      </c>
      <c r="P10">
        <v>555.41999999999996</v>
      </c>
      <c r="Q10">
        <v>0</v>
      </c>
      <c r="R10" t="s">
        <v>5</v>
      </c>
      <c r="S10">
        <v>5</v>
      </c>
      <c r="T10">
        <v>583.19000000000005</v>
      </c>
      <c r="U10">
        <v>0</v>
      </c>
    </row>
    <row r="11" spans="1:21" x14ac:dyDescent="0.3">
      <c r="A11" t="s">
        <v>8</v>
      </c>
      <c r="B11" t="s">
        <v>9</v>
      </c>
      <c r="C11">
        <v>33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31</v>
      </c>
      <c r="N11">
        <v>5728.14</v>
      </c>
      <c r="O11">
        <v>0</v>
      </c>
      <c r="P11">
        <v>391.6</v>
      </c>
      <c r="Q11">
        <v>5380.98</v>
      </c>
      <c r="R11" t="s">
        <v>10</v>
      </c>
      <c r="S11">
        <v>5</v>
      </c>
      <c r="T11">
        <v>411.18</v>
      </c>
      <c r="U11">
        <v>0</v>
      </c>
    </row>
    <row r="12" spans="1:21" x14ac:dyDescent="0.3">
      <c r="A12" t="s">
        <v>11</v>
      </c>
      <c r="B12" t="s">
        <v>12</v>
      </c>
      <c r="C12">
        <v>62</v>
      </c>
      <c r="D12">
        <v>0</v>
      </c>
      <c r="E12">
        <v>0</v>
      </c>
      <c r="F12">
        <v>0</v>
      </c>
      <c r="G12">
        <v>12</v>
      </c>
      <c r="H12">
        <v>0</v>
      </c>
      <c r="I12">
        <v>0</v>
      </c>
      <c r="J12">
        <v>0</v>
      </c>
      <c r="K12">
        <v>0</v>
      </c>
      <c r="L12">
        <v>0</v>
      </c>
      <c r="M12">
        <v>50</v>
      </c>
      <c r="N12">
        <v>8040.16</v>
      </c>
      <c r="O12">
        <v>0</v>
      </c>
      <c r="P12">
        <v>1755.36</v>
      </c>
      <c r="Q12">
        <v>6484</v>
      </c>
      <c r="R12" t="s">
        <v>10</v>
      </c>
      <c r="S12">
        <v>5</v>
      </c>
      <c r="T12">
        <v>1843.13</v>
      </c>
      <c r="U12">
        <v>0</v>
      </c>
    </row>
    <row r="13" spans="1:21" x14ac:dyDescent="0.3">
      <c r="A13" t="s">
        <v>13</v>
      </c>
      <c r="B13" t="s">
        <v>14</v>
      </c>
      <c r="C13">
        <v>65</v>
      </c>
      <c r="D13">
        <v>0</v>
      </c>
      <c r="E13">
        <v>0</v>
      </c>
      <c r="F13">
        <v>0</v>
      </c>
      <c r="G13">
        <v>18</v>
      </c>
      <c r="H13">
        <v>0</v>
      </c>
      <c r="I13">
        <v>0</v>
      </c>
      <c r="J13">
        <v>0</v>
      </c>
      <c r="K13">
        <v>0</v>
      </c>
      <c r="L13">
        <v>0</v>
      </c>
      <c r="M13">
        <v>47</v>
      </c>
      <c r="N13">
        <v>7032.35</v>
      </c>
      <c r="O13">
        <v>0</v>
      </c>
      <c r="P13">
        <v>2196.7199999999998</v>
      </c>
      <c r="Q13">
        <v>5084.93</v>
      </c>
      <c r="R13" t="s">
        <v>15</v>
      </c>
      <c r="S13">
        <v>18</v>
      </c>
      <c r="T13">
        <v>2592.13</v>
      </c>
      <c r="U13">
        <v>0</v>
      </c>
    </row>
    <row r="14" spans="1:21" x14ac:dyDescent="0.3">
      <c r="A14" t="s">
        <v>16</v>
      </c>
      <c r="B14" t="s">
        <v>17</v>
      </c>
      <c r="C14">
        <v>53</v>
      </c>
      <c r="D14">
        <v>0</v>
      </c>
      <c r="E14">
        <v>0</v>
      </c>
      <c r="F14">
        <v>0</v>
      </c>
      <c r="G14">
        <v>11</v>
      </c>
      <c r="H14">
        <v>0</v>
      </c>
      <c r="I14">
        <v>0</v>
      </c>
      <c r="J14">
        <v>0</v>
      </c>
      <c r="K14">
        <v>0</v>
      </c>
      <c r="L14">
        <v>0</v>
      </c>
      <c r="M14">
        <v>42</v>
      </c>
      <c r="N14">
        <v>8698.89</v>
      </c>
      <c r="O14">
        <v>0</v>
      </c>
      <c r="P14">
        <v>2036.54</v>
      </c>
      <c r="Q14">
        <v>6893.46</v>
      </c>
      <c r="R14" t="s">
        <v>5</v>
      </c>
      <c r="S14">
        <v>5</v>
      </c>
      <c r="T14">
        <v>2138.37</v>
      </c>
      <c r="U14">
        <v>0</v>
      </c>
    </row>
    <row r="15" spans="1:21" x14ac:dyDescent="0.3">
      <c r="A15" t="s">
        <v>18</v>
      </c>
      <c r="B15" t="s">
        <v>4</v>
      </c>
      <c r="C15">
        <v>48</v>
      </c>
      <c r="D15">
        <v>0</v>
      </c>
      <c r="E15">
        <v>0</v>
      </c>
      <c r="F15">
        <v>0</v>
      </c>
      <c r="G15">
        <v>7</v>
      </c>
      <c r="H15">
        <v>0</v>
      </c>
      <c r="I15">
        <v>0</v>
      </c>
      <c r="J15">
        <v>0</v>
      </c>
      <c r="K15">
        <v>0</v>
      </c>
      <c r="L15">
        <v>0</v>
      </c>
      <c r="M15">
        <v>41</v>
      </c>
      <c r="N15">
        <v>9239.52</v>
      </c>
      <c r="O15">
        <v>0</v>
      </c>
      <c r="P15">
        <v>1519.98</v>
      </c>
      <c r="Q15">
        <v>7892.09</v>
      </c>
      <c r="R15" t="s">
        <v>5</v>
      </c>
      <c r="S15">
        <v>5</v>
      </c>
      <c r="T15">
        <v>1595.98</v>
      </c>
      <c r="U15">
        <v>0</v>
      </c>
    </row>
    <row r="16" spans="1:21" x14ac:dyDescent="0.3">
      <c r="A16" t="s">
        <v>19</v>
      </c>
      <c r="B16" t="s">
        <v>17</v>
      </c>
      <c r="C16">
        <v>105</v>
      </c>
      <c r="D16">
        <v>0</v>
      </c>
      <c r="E16">
        <v>0</v>
      </c>
      <c r="F16">
        <v>0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99</v>
      </c>
      <c r="N16">
        <v>11198.25</v>
      </c>
      <c r="O16">
        <v>0</v>
      </c>
      <c r="P16">
        <v>896.04</v>
      </c>
      <c r="Q16">
        <v>10558.35</v>
      </c>
      <c r="R16" t="s">
        <v>5</v>
      </c>
      <c r="S16">
        <v>5</v>
      </c>
      <c r="T16">
        <v>316.89</v>
      </c>
      <c r="U16">
        <v>0</v>
      </c>
    </row>
    <row r="17" spans="1:21" x14ac:dyDescent="0.3">
      <c r="A17" t="s">
        <v>20</v>
      </c>
      <c r="B17" t="s">
        <v>7</v>
      </c>
      <c r="C17">
        <v>29</v>
      </c>
      <c r="D17">
        <v>0</v>
      </c>
      <c r="E17">
        <v>0</v>
      </c>
      <c r="F17">
        <v>0</v>
      </c>
      <c r="G17">
        <v>28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2370.46</v>
      </c>
      <c r="O17">
        <v>0</v>
      </c>
      <c r="P17">
        <v>2581.6</v>
      </c>
      <c r="Q17">
        <v>0</v>
      </c>
      <c r="R17" t="s">
        <v>10</v>
      </c>
      <c r="S17">
        <v>5</v>
      </c>
      <c r="T17">
        <v>2710.68</v>
      </c>
      <c r="U17">
        <v>96.81</v>
      </c>
    </row>
    <row r="18" spans="1:21" x14ac:dyDescent="0.3">
      <c r="A18" t="s">
        <v>21</v>
      </c>
      <c r="B18" t="s">
        <v>22</v>
      </c>
      <c r="C18">
        <v>50</v>
      </c>
      <c r="D18">
        <v>0</v>
      </c>
      <c r="E18">
        <v>0</v>
      </c>
      <c r="F18">
        <v>0</v>
      </c>
      <c r="G18">
        <v>17</v>
      </c>
      <c r="H18">
        <v>0</v>
      </c>
      <c r="I18">
        <v>0</v>
      </c>
      <c r="J18">
        <v>0</v>
      </c>
      <c r="K18">
        <v>0</v>
      </c>
      <c r="L18">
        <v>0</v>
      </c>
      <c r="M18">
        <v>33</v>
      </c>
      <c r="N18">
        <v>4423.5</v>
      </c>
      <c r="O18">
        <v>0</v>
      </c>
      <c r="P18">
        <v>1696.6</v>
      </c>
      <c r="Q18">
        <v>2919.51</v>
      </c>
      <c r="R18" t="s">
        <v>5</v>
      </c>
      <c r="S18">
        <v>5</v>
      </c>
      <c r="T18">
        <v>1781.43</v>
      </c>
      <c r="U18">
        <v>0</v>
      </c>
    </row>
    <row r="19" spans="1:21" x14ac:dyDescent="0.3">
      <c r="A19" t="s">
        <v>23</v>
      </c>
      <c r="B19" t="s">
        <v>24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5</v>
      </c>
      <c r="S19">
        <v>5</v>
      </c>
      <c r="T19">
        <v>0</v>
      </c>
      <c r="U19">
        <v>0</v>
      </c>
    </row>
    <row r="20" spans="1:21" x14ac:dyDescent="0.3">
      <c r="A20" t="s">
        <v>25</v>
      </c>
      <c r="B20" t="s">
        <v>9</v>
      </c>
      <c r="C20">
        <v>20</v>
      </c>
      <c r="D20">
        <v>0</v>
      </c>
      <c r="E20">
        <v>0</v>
      </c>
      <c r="F20">
        <v>0</v>
      </c>
      <c r="G20">
        <v>15</v>
      </c>
      <c r="H20">
        <v>0</v>
      </c>
      <c r="I20">
        <v>0</v>
      </c>
      <c r="J20">
        <v>0</v>
      </c>
      <c r="K20">
        <v>0</v>
      </c>
      <c r="L20">
        <v>0</v>
      </c>
      <c r="M20">
        <v>5</v>
      </c>
      <c r="N20">
        <v>5288.8</v>
      </c>
      <c r="O20">
        <v>0</v>
      </c>
      <c r="P20">
        <v>4447.38</v>
      </c>
      <c r="Q20">
        <v>1322.2</v>
      </c>
      <c r="R20" t="s">
        <v>26</v>
      </c>
      <c r="S20">
        <v>18</v>
      </c>
      <c r="T20">
        <v>5279.91</v>
      </c>
      <c r="U20">
        <v>0</v>
      </c>
    </row>
    <row r="21" spans="1:21" x14ac:dyDescent="0.3">
      <c r="A21" t="s">
        <v>27</v>
      </c>
      <c r="B21" t="s">
        <v>28</v>
      </c>
      <c r="C21">
        <v>186</v>
      </c>
      <c r="D21">
        <v>0</v>
      </c>
      <c r="E21">
        <v>0</v>
      </c>
      <c r="F21">
        <v>0</v>
      </c>
      <c r="G21">
        <v>64</v>
      </c>
      <c r="H21">
        <v>0</v>
      </c>
      <c r="I21">
        <v>0</v>
      </c>
      <c r="J21">
        <v>0</v>
      </c>
      <c r="K21">
        <v>0</v>
      </c>
      <c r="L21">
        <v>0</v>
      </c>
      <c r="M21">
        <v>122</v>
      </c>
      <c r="N21">
        <v>10553.64</v>
      </c>
      <c r="O21">
        <v>0</v>
      </c>
      <c r="P21">
        <v>4096</v>
      </c>
      <c r="Q21">
        <v>6922.28</v>
      </c>
      <c r="R21" t="s">
        <v>10</v>
      </c>
      <c r="S21">
        <v>5</v>
      </c>
      <c r="T21">
        <v>4300.8</v>
      </c>
      <c r="U21">
        <v>0</v>
      </c>
    </row>
    <row r="22" spans="1:21" x14ac:dyDescent="0.3">
      <c r="A22" t="s">
        <v>29</v>
      </c>
      <c r="B22" t="s">
        <v>4</v>
      </c>
      <c r="C22">
        <v>33</v>
      </c>
      <c r="D22">
        <v>0</v>
      </c>
      <c r="E22">
        <v>0</v>
      </c>
      <c r="F22">
        <v>0</v>
      </c>
      <c r="G22">
        <v>16</v>
      </c>
      <c r="H22">
        <v>0</v>
      </c>
      <c r="I22">
        <v>0</v>
      </c>
      <c r="J22">
        <v>0</v>
      </c>
      <c r="K22">
        <v>0</v>
      </c>
      <c r="L22">
        <v>0</v>
      </c>
      <c r="M22">
        <v>17</v>
      </c>
      <c r="N22">
        <v>4903.8</v>
      </c>
      <c r="O22">
        <v>0</v>
      </c>
      <c r="P22">
        <v>2681.92</v>
      </c>
      <c r="Q22">
        <v>2526.1999999999998</v>
      </c>
      <c r="R22" t="s">
        <v>10</v>
      </c>
      <c r="S22">
        <v>5</v>
      </c>
      <c r="T22">
        <v>2816.02</v>
      </c>
      <c r="U22">
        <v>0</v>
      </c>
    </row>
    <row r="23" spans="1:21" x14ac:dyDescent="0.3">
      <c r="A23" t="s">
        <v>30</v>
      </c>
      <c r="B23" t="s">
        <v>31</v>
      </c>
      <c r="C23">
        <v>7</v>
      </c>
      <c r="D23">
        <v>0</v>
      </c>
      <c r="E23">
        <v>0</v>
      </c>
      <c r="F23">
        <v>0</v>
      </c>
      <c r="G23">
        <v>4</v>
      </c>
      <c r="H23">
        <v>0</v>
      </c>
      <c r="I23">
        <v>0</v>
      </c>
      <c r="J23">
        <v>0</v>
      </c>
      <c r="K23">
        <v>0</v>
      </c>
      <c r="L23">
        <v>0</v>
      </c>
      <c r="M23">
        <v>3</v>
      </c>
      <c r="N23">
        <v>1258.53</v>
      </c>
      <c r="O23">
        <v>0</v>
      </c>
      <c r="P23">
        <v>811.24</v>
      </c>
      <c r="Q23">
        <v>539.37</v>
      </c>
      <c r="R23" t="s">
        <v>5</v>
      </c>
      <c r="S23">
        <v>5</v>
      </c>
      <c r="T23">
        <v>851.8</v>
      </c>
      <c r="U23">
        <v>0</v>
      </c>
    </row>
    <row r="24" spans="1:21" x14ac:dyDescent="0.3">
      <c r="A24" t="s">
        <v>32</v>
      </c>
      <c r="B24" t="s">
        <v>33</v>
      </c>
      <c r="C24">
        <v>18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18</v>
      </c>
      <c r="N24">
        <v>1617.12</v>
      </c>
      <c r="O24">
        <v>0</v>
      </c>
      <c r="P24">
        <v>0</v>
      </c>
      <c r="Q24">
        <v>1617.12</v>
      </c>
      <c r="R24" t="s">
        <v>34</v>
      </c>
      <c r="S24">
        <v>5</v>
      </c>
      <c r="T24">
        <v>0</v>
      </c>
      <c r="U24">
        <v>0</v>
      </c>
    </row>
    <row r="25" spans="1:21" x14ac:dyDescent="0.3">
      <c r="A25" t="s">
        <v>35</v>
      </c>
      <c r="B25" t="s">
        <v>28</v>
      </c>
      <c r="C25">
        <v>100</v>
      </c>
      <c r="D25">
        <v>0</v>
      </c>
      <c r="E25">
        <v>0</v>
      </c>
      <c r="F25">
        <v>0</v>
      </c>
      <c r="G25">
        <v>30</v>
      </c>
      <c r="H25">
        <v>0</v>
      </c>
      <c r="I25">
        <v>0</v>
      </c>
      <c r="J25">
        <v>0</v>
      </c>
      <c r="K25">
        <v>0</v>
      </c>
      <c r="L25">
        <v>0</v>
      </c>
      <c r="M25">
        <v>70</v>
      </c>
      <c r="N25">
        <v>15196</v>
      </c>
      <c r="O25">
        <v>0</v>
      </c>
      <c r="P25">
        <v>5142.6000000000004</v>
      </c>
      <c r="Q25">
        <v>10637.2</v>
      </c>
      <c r="R25" t="s">
        <v>5</v>
      </c>
      <c r="S25">
        <v>5</v>
      </c>
      <c r="T25">
        <v>5399.73</v>
      </c>
      <c r="U25">
        <v>0</v>
      </c>
    </row>
    <row r="26" spans="1:21" x14ac:dyDescent="0.3">
      <c r="A26" t="s">
        <v>36</v>
      </c>
      <c r="B26" t="s">
        <v>37</v>
      </c>
      <c r="C26">
        <v>161</v>
      </c>
      <c r="D26">
        <v>0</v>
      </c>
      <c r="E26">
        <v>0</v>
      </c>
      <c r="F26">
        <v>0</v>
      </c>
      <c r="G26">
        <v>19</v>
      </c>
      <c r="H26">
        <v>0</v>
      </c>
      <c r="I26">
        <v>0</v>
      </c>
      <c r="J26">
        <v>0</v>
      </c>
      <c r="K26">
        <v>0</v>
      </c>
      <c r="L26">
        <v>0</v>
      </c>
      <c r="M26">
        <v>142</v>
      </c>
      <c r="N26">
        <v>25446.05</v>
      </c>
      <c r="O26">
        <v>0</v>
      </c>
      <c r="P26">
        <v>3387.32</v>
      </c>
      <c r="Q26">
        <v>22443.1</v>
      </c>
      <c r="R26" t="s">
        <v>5</v>
      </c>
      <c r="S26">
        <v>5</v>
      </c>
      <c r="T26">
        <v>3556.69</v>
      </c>
      <c r="U26">
        <v>0</v>
      </c>
    </row>
    <row r="27" spans="1:21" x14ac:dyDescent="0.3">
      <c r="A27" t="s">
        <v>36</v>
      </c>
      <c r="B27" t="s">
        <v>38</v>
      </c>
      <c r="C27">
        <v>156</v>
      </c>
      <c r="D27">
        <v>0</v>
      </c>
      <c r="E27">
        <v>0</v>
      </c>
      <c r="F27">
        <v>0</v>
      </c>
      <c r="G27">
        <v>150</v>
      </c>
      <c r="H27">
        <v>0</v>
      </c>
      <c r="I27">
        <v>0</v>
      </c>
      <c r="J27">
        <v>0</v>
      </c>
      <c r="K27">
        <v>0</v>
      </c>
      <c r="L27">
        <v>0</v>
      </c>
      <c r="M27">
        <v>6</v>
      </c>
      <c r="N27">
        <v>14749.8</v>
      </c>
      <c r="O27">
        <v>0</v>
      </c>
      <c r="P27">
        <v>15999</v>
      </c>
      <c r="Q27">
        <v>567.29999999999995</v>
      </c>
      <c r="R27" t="s">
        <v>5</v>
      </c>
      <c r="S27">
        <v>5</v>
      </c>
      <c r="T27">
        <v>16798.95</v>
      </c>
      <c r="U27">
        <v>0</v>
      </c>
    </row>
    <row r="28" spans="1:21" x14ac:dyDescent="0.3">
      <c r="A28" t="s">
        <v>39</v>
      </c>
      <c r="B28" t="s">
        <v>40</v>
      </c>
      <c r="C28">
        <v>17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17</v>
      </c>
      <c r="N28">
        <v>1607.35</v>
      </c>
      <c r="O28">
        <v>0</v>
      </c>
      <c r="P28">
        <v>0</v>
      </c>
      <c r="Q28">
        <v>1607.35</v>
      </c>
      <c r="R28" t="s">
        <v>5</v>
      </c>
      <c r="S28">
        <v>5</v>
      </c>
      <c r="T28">
        <v>0</v>
      </c>
      <c r="U28">
        <v>0</v>
      </c>
    </row>
    <row r="29" spans="1:21" x14ac:dyDescent="0.3">
      <c r="A29" t="s">
        <v>41</v>
      </c>
      <c r="B29" t="s">
        <v>4</v>
      </c>
      <c r="C29">
        <v>326</v>
      </c>
      <c r="D29">
        <v>0</v>
      </c>
      <c r="E29">
        <v>0</v>
      </c>
      <c r="F29">
        <v>36</v>
      </c>
      <c r="G29">
        <v>27</v>
      </c>
      <c r="H29">
        <v>0</v>
      </c>
      <c r="I29">
        <v>0</v>
      </c>
      <c r="J29">
        <v>0</v>
      </c>
      <c r="K29">
        <v>0</v>
      </c>
      <c r="L29">
        <v>36</v>
      </c>
      <c r="M29">
        <v>299</v>
      </c>
      <c r="N29">
        <v>48443.6</v>
      </c>
      <c r="O29">
        <v>0</v>
      </c>
      <c r="P29">
        <v>4525.74</v>
      </c>
      <c r="Q29">
        <v>44431.4</v>
      </c>
      <c r="R29" t="s">
        <v>5</v>
      </c>
      <c r="S29">
        <v>5</v>
      </c>
      <c r="T29">
        <v>4752.03</v>
      </c>
      <c r="U29">
        <v>0</v>
      </c>
    </row>
    <row r="30" spans="1:21" x14ac:dyDescent="0.3">
      <c r="A30" t="s">
        <v>42</v>
      </c>
      <c r="B30" t="s">
        <v>43</v>
      </c>
      <c r="C30">
        <v>71</v>
      </c>
      <c r="D30">
        <v>0</v>
      </c>
      <c r="E30">
        <v>0</v>
      </c>
      <c r="F30">
        <v>0</v>
      </c>
      <c r="G30">
        <v>40</v>
      </c>
      <c r="H30">
        <v>1</v>
      </c>
      <c r="I30">
        <v>0</v>
      </c>
      <c r="J30">
        <v>0</v>
      </c>
      <c r="K30">
        <v>0</v>
      </c>
      <c r="L30">
        <v>0</v>
      </c>
      <c r="M30">
        <v>30</v>
      </c>
      <c r="N30">
        <v>4939.47</v>
      </c>
      <c r="O30">
        <v>0</v>
      </c>
      <c r="P30">
        <v>3139.2</v>
      </c>
      <c r="Q30">
        <v>2087.1</v>
      </c>
      <c r="R30" t="s">
        <v>10</v>
      </c>
      <c r="S30">
        <v>5</v>
      </c>
      <c r="T30">
        <v>3296.16</v>
      </c>
      <c r="U30">
        <v>82.4</v>
      </c>
    </row>
    <row r="31" spans="1:21" x14ac:dyDescent="0.3">
      <c r="A31" t="s">
        <v>44</v>
      </c>
      <c r="B31" t="s">
        <v>7</v>
      </c>
      <c r="C31">
        <v>113</v>
      </c>
      <c r="D31">
        <v>0</v>
      </c>
      <c r="E31">
        <v>0</v>
      </c>
      <c r="F31">
        <v>0</v>
      </c>
      <c r="G31">
        <v>39</v>
      </c>
      <c r="H31">
        <v>0</v>
      </c>
      <c r="I31">
        <v>0</v>
      </c>
      <c r="J31">
        <v>0</v>
      </c>
      <c r="K31">
        <v>0</v>
      </c>
      <c r="L31">
        <v>0</v>
      </c>
      <c r="M31">
        <v>74</v>
      </c>
      <c r="N31">
        <v>12822.11</v>
      </c>
      <c r="O31">
        <v>0</v>
      </c>
      <c r="P31">
        <v>4992</v>
      </c>
      <c r="Q31">
        <v>8396.7800000000007</v>
      </c>
      <c r="R31" t="s">
        <v>10</v>
      </c>
      <c r="S31">
        <v>5</v>
      </c>
      <c r="T31">
        <v>5241.6000000000004</v>
      </c>
      <c r="U31">
        <v>0</v>
      </c>
    </row>
    <row r="32" spans="1:21" x14ac:dyDescent="0.3">
      <c r="A32" t="s">
        <v>45</v>
      </c>
      <c r="B32" t="s">
        <v>46</v>
      </c>
      <c r="C32">
        <v>319</v>
      </c>
      <c r="D32">
        <v>0</v>
      </c>
      <c r="E32">
        <v>0</v>
      </c>
      <c r="F32">
        <v>0</v>
      </c>
      <c r="G32">
        <v>76</v>
      </c>
      <c r="H32">
        <v>2</v>
      </c>
      <c r="I32">
        <v>0</v>
      </c>
      <c r="J32">
        <v>0</v>
      </c>
      <c r="K32">
        <v>0</v>
      </c>
      <c r="L32">
        <v>0</v>
      </c>
      <c r="M32">
        <v>241</v>
      </c>
      <c r="N32">
        <v>32317.89</v>
      </c>
      <c r="O32">
        <v>0</v>
      </c>
      <c r="P32">
        <v>8685.2800000000007</v>
      </c>
      <c r="Q32">
        <v>24415.71</v>
      </c>
      <c r="R32" t="s">
        <v>5</v>
      </c>
      <c r="S32">
        <v>5</v>
      </c>
      <c r="T32">
        <v>9119.5400000000009</v>
      </c>
      <c r="U32">
        <v>239.99</v>
      </c>
    </row>
    <row r="33" spans="1:21" x14ac:dyDescent="0.3">
      <c r="A33" t="s">
        <v>47</v>
      </c>
      <c r="B33" t="s">
        <v>22</v>
      </c>
      <c r="C33">
        <v>67</v>
      </c>
      <c r="D33">
        <v>0</v>
      </c>
      <c r="E33">
        <v>0</v>
      </c>
      <c r="F33">
        <v>0</v>
      </c>
      <c r="G33">
        <v>6</v>
      </c>
      <c r="H33">
        <v>0</v>
      </c>
      <c r="I33">
        <v>0</v>
      </c>
      <c r="J33">
        <v>0</v>
      </c>
      <c r="K33">
        <v>0</v>
      </c>
      <c r="L33">
        <v>0</v>
      </c>
      <c r="M33">
        <v>61</v>
      </c>
      <c r="N33">
        <v>6969.34</v>
      </c>
      <c r="O33">
        <v>0</v>
      </c>
      <c r="P33">
        <v>704.04</v>
      </c>
      <c r="Q33">
        <v>6345.22</v>
      </c>
      <c r="R33" t="s">
        <v>5</v>
      </c>
      <c r="S33">
        <v>5</v>
      </c>
      <c r="T33">
        <v>739.24</v>
      </c>
      <c r="U33">
        <v>0</v>
      </c>
    </row>
    <row r="34" spans="1:21" x14ac:dyDescent="0.3">
      <c r="A34" t="s">
        <v>48</v>
      </c>
      <c r="B34" t="s">
        <v>17</v>
      </c>
      <c r="C34">
        <v>634</v>
      </c>
      <c r="D34">
        <v>0</v>
      </c>
      <c r="E34">
        <v>0</v>
      </c>
      <c r="F34">
        <v>0</v>
      </c>
      <c r="G34">
        <v>96</v>
      </c>
      <c r="H34">
        <v>1</v>
      </c>
      <c r="I34">
        <v>0</v>
      </c>
      <c r="J34">
        <v>0</v>
      </c>
      <c r="K34">
        <v>0</v>
      </c>
      <c r="L34">
        <v>0</v>
      </c>
      <c r="M34">
        <v>537</v>
      </c>
      <c r="N34">
        <v>100203.7</v>
      </c>
      <c r="O34">
        <v>0</v>
      </c>
      <c r="P34">
        <v>17114.88</v>
      </c>
      <c r="Q34">
        <v>84872.85</v>
      </c>
      <c r="R34" t="s">
        <v>5</v>
      </c>
      <c r="S34">
        <v>5</v>
      </c>
      <c r="T34">
        <v>17970.62</v>
      </c>
      <c r="U34">
        <v>187.19</v>
      </c>
    </row>
    <row r="35" spans="1:21" x14ac:dyDescent="0.3">
      <c r="A35" t="s">
        <v>49</v>
      </c>
      <c r="B35" t="s">
        <v>7</v>
      </c>
      <c r="C35">
        <v>59</v>
      </c>
      <c r="D35">
        <v>0</v>
      </c>
      <c r="E35">
        <v>0</v>
      </c>
      <c r="F35">
        <v>0</v>
      </c>
      <c r="G35">
        <v>41</v>
      </c>
      <c r="H35">
        <v>0</v>
      </c>
      <c r="I35">
        <v>0</v>
      </c>
      <c r="J35">
        <v>0</v>
      </c>
      <c r="K35">
        <v>0</v>
      </c>
      <c r="L35">
        <v>0</v>
      </c>
      <c r="M35">
        <v>18</v>
      </c>
      <c r="N35">
        <v>4463.3500000000004</v>
      </c>
      <c r="O35">
        <v>0</v>
      </c>
      <c r="P35">
        <v>3498.94</v>
      </c>
      <c r="Q35">
        <v>1361.7</v>
      </c>
      <c r="R35" t="s">
        <v>10</v>
      </c>
      <c r="S35">
        <v>5</v>
      </c>
      <c r="T35">
        <v>3673.89</v>
      </c>
      <c r="U35">
        <v>0</v>
      </c>
    </row>
    <row r="36" spans="1:21" x14ac:dyDescent="0.3">
      <c r="A36" t="s">
        <v>50</v>
      </c>
      <c r="B36" t="s">
        <v>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5</v>
      </c>
      <c r="S36">
        <v>5</v>
      </c>
      <c r="T36">
        <v>0</v>
      </c>
      <c r="U36">
        <v>0</v>
      </c>
    </row>
    <row r="37" spans="1:21" x14ac:dyDescent="0.3">
      <c r="A37" t="s">
        <v>51</v>
      </c>
      <c r="B37" t="s">
        <v>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5</v>
      </c>
      <c r="S37">
        <v>5</v>
      </c>
      <c r="T37">
        <v>0</v>
      </c>
      <c r="U37">
        <v>0</v>
      </c>
    </row>
    <row r="38" spans="1:21" x14ac:dyDescent="0.3">
      <c r="A38" t="s">
        <v>52</v>
      </c>
      <c r="B38" t="s">
        <v>53</v>
      </c>
      <c r="C38">
        <v>275</v>
      </c>
      <c r="D38">
        <v>0</v>
      </c>
      <c r="E38">
        <v>0</v>
      </c>
      <c r="F38">
        <v>0</v>
      </c>
      <c r="G38">
        <v>22</v>
      </c>
      <c r="H38">
        <v>0</v>
      </c>
      <c r="I38">
        <v>0</v>
      </c>
      <c r="J38">
        <v>0</v>
      </c>
      <c r="K38">
        <v>0</v>
      </c>
      <c r="L38">
        <v>0</v>
      </c>
      <c r="M38">
        <v>253</v>
      </c>
      <c r="N38">
        <v>26001.25</v>
      </c>
      <c r="O38">
        <v>0</v>
      </c>
      <c r="P38">
        <v>2346.52</v>
      </c>
      <c r="Q38">
        <v>23921.15</v>
      </c>
      <c r="R38" t="s">
        <v>10</v>
      </c>
      <c r="S38">
        <v>5</v>
      </c>
      <c r="T38">
        <v>2463.85</v>
      </c>
      <c r="U38">
        <v>0</v>
      </c>
    </row>
    <row r="39" spans="1:21" x14ac:dyDescent="0.3">
      <c r="A39" t="s">
        <v>46</v>
      </c>
      <c r="B39" t="s">
        <v>46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46</v>
      </c>
      <c r="S39">
        <v>0</v>
      </c>
      <c r="T39">
        <v>0</v>
      </c>
      <c r="U39">
        <v>0</v>
      </c>
    </row>
    <row r="40" spans="1:21" x14ac:dyDescent="0.3">
      <c r="A40" t="s">
        <v>46</v>
      </c>
      <c r="B40" t="s">
        <v>46</v>
      </c>
      <c r="C40">
        <v>3034</v>
      </c>
      <c r="D40">
        <v>0</v>
      </c>
      <c r="E40">
        <v>0</v>
      </c>
      <c r="F40">
        <v>36</v>
      </c>
      <c r="G40">
        <v>753</v>
      </c>
      <c r="H40">
        <v>0</v>
      </c>
      <c r="I40">
        <v>0</v>
      </c>
      <c r="J40">
        <v>0</v>
      </c>
      <c r="K40">
        <v>0</v>
      </c>
      <c r="L40">
        <v>37</v>
      </c>
      <c r="M40">
        <v>2275</v>
      </c>
      <c r="N40">
        <v>376153.46</v>
      </c>
      <c r="O40">
        <v>0</v>
      </c>
      <c r="P40">
        <v>95792.4</v>
      </c>
      <c r="Q40">
        <v>290703.27</v>
      </c>
      <c r="R40" t="s">
        <v>46</v>
      </c>
      <c r="S40">
        <v>0</v>
      </c>
      <c r="T40">
        <v>0</v>
      </c>
      <c r="U40">
        <v>0</v>
      </c>
    </row>
    <row r="41" spans="1:21" x14ac:dyDescent="0.3">
      <c r="A41" t="s">
        <v>54</v>
      </c>
      <c r="B41" t="s">
        <v>46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46</v>
      </c>
      <c r="S41">
        <v>0</v>
      </c>
      <c r="T41">
        <v>0</v>
      </c>
      <c r="U41">
        <v>0</v>
      </c>
    </row>
    <row r="42" spans="1:21" x14ac:dyDescent="0.3">
      <c r="A42" t="s">
        <v>46</v>
      </c>
      <c r="B42" t="s">
        <v>46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s">
        <v>46</v>
      </c>
      <c r="S42">
        <v>0</v>
      </c>
      <c r="T42">
        <v>0</v>
      </c>
      <c r="U42">
        <v>0</v>
      </c>
    </row>
    <row r="43" spans="1:21" x14ac:dyDescent="0.3">
      <c r="A43" t="s">
        <v>55</v>
      </c>
      <c r="B43" t="s">
        <v>46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46</v>
      </c>
      <c r="S43">
        <v>0</v>
      </c>
      <c r="T43">
        <v>0</v>
      </c>
      <c r="U43">
        <v>0</v>
      </c>
    </row>
    <row r="44" spans="1:21" x14ac:dyDescent="0.3">
      <c r="A44" t="s">
        <v>56</v>
      </c>
      <c r="B44" t="s">
        <v>46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46</v>
      </c>
      <c r="S44">
        <v>0</v>
      </c>
      <c r="T44">
        <v>0</v>
      </c>
      <c r="U44">
        <v>0</v>
      </c>
    </row>
    <row r="45" spans="1:21" x14ac:dyDescent="0.3">
      <c r="A45" t="s">
        <v>57</v>
      </c>
      <c r="B45" t="s">
        <v>46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46</v>
      </c>
      <c r="S45">
        <v>0</v>
      </c>
      <c r="T45">
        <v>0</v>
      </c>
      <c r="U45">
        <v>0</v>
      </c>
    </row>
    <row r="46" spans="1:21" x14ac:dyDescent="0.3">
      <c r="A46" t="s">
        <v>58</v>
      </c>
      <c r="B46" t="s">
        <v>46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46</v>
      </c>
      <c r="S46">
        <v>0</v>
      </c>
      <c r="T46">
        <v>0</v>
      </c>
      <c r="U46">
        <v>0</v>
      </c>
    </row>
    <row r="47" spans="1:21" x14ac:dyDescent="0.3">
      <c r="A47" t="s">
        <v>59</v>
      </c>
      <c r="B47" t="s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46</v>
      </c>
      <c r="S47">
        <v>0</v>
      </c>
      <c r="T47">
        <v>0</v>
      </c>
      <c r="U47">
        <v>0</v>
      </c>
    </row>
    <row r="48" spans="1:21" x14ac:dyDescent="0.3">
      <c r="A48" t="s">
        <v>60</v>
      </c>
      <c r="B48" t="s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46</v>
      </c>
      <c r="S48">
        <v>0</v>
      </c>
      <c r="T48">
        <v>0</v>
      </c>
      <c r="U48">
        <v>0</v>
      </c>
    </row>
    <row r="49" spans="1:21" x14ac:dyDescent="0.3">
      <c r="A49" t="s">
        <v>61</v>
      </c>
      <c r="B49" t="s">
        <v>46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46</v>
      </c>
      <c r="S49">
        <v>0</v>
      </c>
      <c r="T49">
        <v>0</v>
      </c>
      <c r="U49">
        <v>0</v>
      </c>
    </row>
    <row r="50" spans="1:21" x14ac:dyDescent="0.3">
      <c r="A50" t="s">
        <v>62</v>
      </c>
      <c r="B50" t="s">
        <v>46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46</v>
      </c>
      <c r="S50">
        <v>0</v>
      </c>
      <c r="T50">
        <v>0</v>
      </c>
      <c r="U50">
        <v>0</v>
      </c>
    </row>
    <row r="51" spans="1:21" x14ac:dyDescent="0.3">
      <c r="A51" t="s">
        <v>46</v>
      </c>
      <c r="B51" t="s">
        <v>46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46</v>
      </c>
      <c r="S51">
        <v>0</v>
      </c>
      <c r="T51">
        <v>0</v>
      </c>
      <c r="U51">
        <v>0</v>
      </c>
    </row>
    <row r="68" spans="1:9" x14ac:dyDescent="0.3">
      <c r="A68" s="2" t="s">
        <v>69</v>
      </c>
      <c r="B68" s="2"/>
      <c r="C68" s="2"/>
      <c r="D68" s="2"/>
      <c r="E68" s="2"/>
      <c r="F68" s="2"/>
      <c r="G68" s="2"/>
      <c r="H68" s="2"/>
      <c r="I68" s="2"/>
    </row>
    <row r="69" spans="1:9" x14ac:dyDescent="0.3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3">
      <c r="A70" s="1" t="s">
        <v>70</v>
      </c>
      <c r="B70" s="1" t="s">
        <v>71</v>
      </c>
      <c r="C70" s="1" t="s">
        <v>72</v>
      </c>
      <c r="D70" s="1" t="s">
        <v>73</v>
      </c>
      <c r="E70" s="1" t="s">
        <v>74</v>
      </c>
      <c r="F70" s="1" t="s">
        <v>75</v>
      </c>
      <c r="G70" s="1" t="s">
        <v>76</v>
      </c>
      <c r="H70" s="1" t="s">
        <v>77</v>
      </c>
      <c r="I70" s="1" t="s">
        <v>78</v>
      </c>
    </row>
    <row r="71" spans="1:9" x14ac:dyDescent="0.3">
      <c r="A71">
        <v>1</v>
      </c>
      <c r="B71" t="s">
        <v>79</v>
      </c>
      <c r="C71" t="s">
        <v>17</v>
      </c>
      <c r="D71" t="s">
        <v>80</v>
      </c>
      <c r="E71" t="s">
        <v>81</v>
      </c>
      <c r="F71" s="4">
        <v>46356</v>
      </c>
      <c r="G71">
        <v>45.27</v>
      </c>
      <c r="H71">
        <v>10</v>
      </c>
      <c r="I71">
        <v>452.70000000000005</v>
      </c>
    </row>
    <row r="72" spans="1:9" x14ac:dyDescent="0.3">
      <c r="A72">
        <v>2</v>
      </c>
      <c r="B72" t="s">
        <v>82</v>
      </c>
      <c r="C72" t="s">
        <v>83</v>
      </c>
      <c r="D72" t="s">
        <v>80</v>
      </c>
      <c r="E72">
        <v>111241115</v>
      </c>
      <c r="F72" s="4">
        <v>46234</v>
      </c>
      <c r="G72">
        <v>94.55</v>
      </c>
      <c r="H72">
        <v>17</v>
      </c>
      <c r="I72">
        <v>1607.35</v>
      </c>
    </row>
    <row r="75" spans="1:9" x14ac:dyDescent="0.3">
      <c r="G75" t="s">
        <v>84</v>
      </c>
      <c r="I75">
        <v>2060.0499999999997</v>
      </c>
    </row>
  </sheetData>
  <mergeCells count="8">
    <mergeCell ref="A6:U6"/>
    <mergeCell ref="A68:I68"/>
    <mergeCell ref="A69:I69"/>
    <mergeCell ref="A1:U1"/>
    <mergeCell ref="A2:U2"/>
    <mergeCell ref="A3:U3"/>
    <mergeCell ref="A4:U4"/>
    <mergeCell ref="A5:U5"/>
  </mergeCells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XLS1115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2026-10-01T10:32:20Z</dcterms:created>
  <dcterms:modified xsi:type="dcterms:W3CDTF">2026-10-01T10:32:21Z</dcterms:modified>
</cp:coreProperties>
</file>