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VAEXCL\"/>
    </mc:Choice>
  </mc:AlternateContent>
  <bookViews>
    <workbookView xWindow="0" yWindow="0" windowWidth="14370" windowHeight="9645"/>
  </bookViews>
  <sheets>
    <sheet name="HIMALAYA ZEAL-SUNIL_SEP" sheetId="1" r:id="rId1"/>
  </sheets>
  <calcPr calcId="0"/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<sst xmlns="http://schemas.openxmlformats.org/spreadsheetml/2006/main" count="276" uniqueCount="131">
  <si>
    <t>AACTARIL SOAP</t>
  </si>
  <si>
    <t>75</t>
  </si>
  <si>
    <t>34011110</t>
  </si>
  <si>
    <t>ABANA TAB</t>
  </si>
  <si>
    <t>50TAB</t>
  </si>
  <si>
    <t>30049011</t>
  </si>
  <si>
    <t>ALTHEA LOTION</t>
  </si>
  <si>
    <t>100</t>
  </si>
  <si>
    <t>AMALAKI TABLET</t>
  </si>
  <si>
    <t>60TAB</t>
  </si>
  <si>
    <t>ANTI HAIR LOSSCREAM</t>
  </si>
  <si>
    <t>50</t>
  </si>
  <si>
    <t>33059030</t>
  </si>
  <si>
    <t>BLEMINOR CREAM</t>
  </si>
  <si>
    <t>30</t>
  </si>
  <si>
    <t>CLARINA ACNE KIT</t>
  </si>
  <si>
    <t>1</t>
  </si>
  <si>
    <t>33041000</t>
  </si>
  <si>
    <t>CLARINA CREAM</t>
  </si>
  <si>
    <t>30GM</t>
  </si>
  <si>
    <t>CLARINA FACE MASK</t>
  </si>
  <si>
    <t>33049990</t>
  </si>
  <si>
    <t>CLARINA FACE WASH GEL</t>
  </si>
  <si>
    <t>60</t>
  </si>
  <si>
    <t>CLEARVITAL GEL</t>
  </si>
  <si>
    <t/>
  </si>
  <si>
    <t>33049910</t>
  </si>
  <si>
    <t>COLD BALM 45GM</t>
  </si>
  <si>
    <t>45</t>
  </si>
  <si>
    <t>30049099</t>
  </si>
  <si>
    <t>CONFIDO</t>
  </si>
  <si>
    <t>DIABECON DS TAB</t>
  </si>
  <si>
    <t>DIABECON TAB</t>
  </si>
  <si>
    <t>DIAREX</t>
  </si>
  <si>
    <t>30TAB</t>
  </si>
  <si>
    <t>DIAREX SYP</t>
  </si>
  <si>
    <t>HADJOD TAB</t>
  </si>
  <si>
    <t>HAIR ZONE SOLN</t>
  </si>
  <si>
    <t>33059020</t>
  </si>
  <si>
    <t>HEAL LIP BALM</t>
  </si>
  <si>
    <t>10GM</t>
  </si>
  <si>
    <t>HERBOLAX CAP</t>
  </si>
  <si>
    <t>10CAP</t>
  </si>
  <si>
    <t>HERBOLAX TAB</t>
  </si>
  <si>
    <t>100TAB</t>
  </si>
  <si>
    <t>HIMCOCID SUSP(BAN)</t>
  </si>
  <si>
    <t>200</t>
  </si>
  <si>
    <t>HIMCOCID SUSP(MINT)</t>
  </si>
  <si>
    <t>HIMCOCID SUSP(SAU)</t>
  </si>
  <si>
    <t>HIMCOLIN CREAM</t>
  </si>
  <si>
    <t>HIOWNA ADULT POW(VAN)</t>
  </si>
  <si>
    <t>21069099</t>
  </si>
  <si>
    <t>HIOWNA ADULT-POW(CHO)</t>
  </si>
  <si>
    <t>HIOWNA CHOC MOMZ</t>
  </si>
  <si>
    <t>HIOWNA CHOC(400)</t>
  </si>
  <si>
    <t>400</t>
  </si>
  <si>
    <t>HIOWNA VANI MOMZ</t>
  </si>
  <si>
    <t>HIRZONE SOLN.</t>
  </si>
  <si>
    <t>KAPIKACHHU CAP</t>
  </si>
  <si>
    <t>60tab</t>
  </si>
  <si>
    <t>LIV 52 HB CAP</t>
  </si>
  <si>
    <t>10</t>
  </si>
  <si>
    <t>LIV 52 SYRUP</t>
  </si>
  <si>
    <t>100ML</t>
  </si>
  <si>
    <t>200ML</t>
  </si>
  <si>
    <t>LIV 52 TAB</t>
  </si>
  <si>
    <t>LIV.52 SYRUP (SF)</t>
  </si>
  <si>
    <t>MANJISHTHA TABS</t>
  </si>
  <si>
    <t>MUSCLE &amp;JOINT RUB</t>
  </si>
  <si>
    <t>20</t>
  </si>
  <si>
    <t>OPHTHACARE EYE DROPS</t>
  </si>
  <si>
    <t>10ML</t>
  </si>
  <si>
    <t>ORO T ORALRINSE</t>
  </si>
  <si>
    <t>ORO-T ORAL RINSE (LIQUID) 100M</t>
  </si>
  <si>
    <t>OXITARD CAP</t>
  </si>
  <si>
    <t>PAIN BALM 45GM</t>
  </si>
  <si>
    <t>PILEX FORTE OINTMENT</t>
  </si>
  <si>
    <t>PILEX FORTE TABLET</t>
  </si>
  <si>
    <t>PILEX TAB</t>
  </si>
  <si>
    <t>PURE HAND 30ML</t>
  </si>
  <si>
    <t>PURE HAND ORA(BOTT)</t>
  </si>
  <si>
    <t>PURE HANDS 50ML</t>
  </si>
  <si>
    <t>34013090</t>
  </si>
  <si>
    <t>PUREHANDS</t>
  </si>
  <si>
    <t>PUREHANDS 500ML</t>
  </si>
  <si>
    <t>500</t>
  </si>
  <si>
    <t>PURIM</t>
  </si>
  <si>
    <t>QUIST ACTIVE-MMF</t>
  </si>
  <si>
    <t>200GM</t>
  </si>
  <si>
    <t>QUISTA ACTIVE 200G</t>
  </si>
  <si>
    <t>200gm</t>
  </si>
  <si>
    <t>QUISTA DN MILKMASA</t>
  </si>
  <si>
    <t>QUISTA DN MMF</t>
  </si>
  <si>
    <t>QUISTA DN(MILKMAS)</t>
  </si>
  <si>
    <t>QUISTA DN(VAN)</t>
  </si>
  <si>
    <t>RENALKA SYRUP</t>
  </si>
  <si>
    <t>SHALLAKI TABLET</t>
  </si>
  <si>
    <t>SHIGRU TAB</t>
  </si>
  <si>
    <t>STRESS RELIEF OIL</t>
  </si>
  <si>
    <t>TAGARA TAB</t>
  </si>
  <si>
    <t>TALKET CAP</t>
  </si>
  <si>
    <t>TALKET SYRUP</t>
  </si>
  <si>
    <t>120</t>
  </si>
  <si>
    <t>TENTEX FORTE</t>
  </si>
  <si>
    <t>10TAB</t>
  </si>
  <si>
    <t>TRIKATU SYRUP</t>
  </si>
  <si>
    <t>TRIKATU TABLETS</t>
  </si>
  <si>
    <t>TRIPHALA SYP.</t>
  </si>
  <si>
    <t>TRIPHALA TABLET</t>
  </si>
  <si>
    <t>VASAKA SYRUP</t>
  </si>
  <si>
    <t>200ml</t>
  </si>
  <si>
    <t>VASAKA TABLETS</t>
  </si>
  <si>
    <t>VEGECORT CREAM</t>
  </si>
  <si>
    <t>VEGECORT CREAM 30G INDIA</t>
  </si>
  <si>
    <t>30gm</t>
  </si>
  <si>
    <t>VRIKSHAMLA TABLET</t>
  </si>
  <si>
    <t>YESTIMADHU TAB</t>
  </si>
  <si>
    <t>OPENING :  221663.38</t>
  </si>
  <si>
    <t>PURCHASE :  122311.46</t>
  </si>
  <si>
    <t>SALES :  114050.83</t>
  </si>
  <si>
    <t>UC SALE :   83779.44</t>
  </si>
  <si>
    <t>CL.STK.:  169250.73</t>
  </si>
  <si>
    <t>Opening On SaleRate:  255419.0</t>
  </si>
  <si>
    <t>Purchase On SaleRate:  138416.</t>
  </si>
  <si>
    <t>Closing On SaleRate:  194826.1</t>
  </si>
  <si>
    <t xml:space="preserve">SHREE DISTRIBUTORS                      </t>
  </si>
  <si>
    <t>SHOP NO.14, BASEMENT,SHAKTI PLAZA        From : 01/09/26</t>
  </si>
  <si>
    <t>RAM GALLI,BARAMATI,PUNE-413102           To : 30/09/26</t>
  </si>
  <si>
    <t>MOB:9860141716,9284259096               Report Date :  2-Oct-2026</t>
  </si>
  <si>
    <t>STOCK &amp; SALE STATEMENT</t>
  </si>
  <si>
    <t>Company Name : HIMALAYA ZEAL-SUNIL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</si>
</sst>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workbookViewId="0">
      <pane ySplit="7" topLeftCell="A8" activePane="bottomLeft" state="frozen"/>
      <selection pane="bottomLeft" activeCell="A8" sqref="A8:O8"/>
    </sheetView>
  </sheetViews>
  <sheetFormatPr defaultRowHeight="15" x14ac:dyDescent="0.25"/>
  <cols>
    <col min="1" max="1" width="31.140625" bestFit="1" customWidth="1"/>
    <col min="2" max="2" width="7.42578125" bestFit="1" customWidth="1"/>
    <col min="3" max="3" width="9.7109375" bestFit="1" customWidth="1"/>
    <col min="4" max="4" width="8.42578125" bestFit="1" customWidth="1"/>
    <col min="5" max="5" width="8" bestFit="1" customWidth="1"/>
    <col min="6" max="6" width="8.85546875" bestFit="1" customWidth="1"/>
    <col min="7" max="7" width="7.28515625" bestFit="1" customWidth="1"/>
    <col min="8" max="8" width="7.140625" bestFit="1" customWidth="1"/>
    <col min="9" max="9" width="10.140625" bestFit="1" customWidth="1"/>
    <col min="10" max="13" width="10" bestFit="1" customWidth="1"/>
    <col min="14" max="14" width="10.140625" bestFit="1" customWidth="1"/>
    <col min="15" max="15" width="8.28515625" bestFit="1" customWidth="1"/>
  </cols>
  <sheetData>
    <row r="1" spans="1:15" x14ac:dyDescent="0.25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126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128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 t="s">
        <v>129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130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tr">
        <f>UPPER("name")</f>
        <v>NAME</v>
      </c>
      <c r="B7" s="3" t="str">
        <f>UPPER("pack")</f>
        <v>PACK</v>
      </c>
      <c r="C7" s="3" t="str">
        <f>UPPER("openstk")</f>
        <v>OPENSTK</v>
      </c>
      <c r="D7" s="3" t="str">
        <f>UPPER("purstk")</f>
        <v>PURSTK</v>
      </c>
      <c r="E7" s="3" t="str">
        <f>UPPER("crestk")</f>
        <v>CRESTK</v>
      </c>
      <c r="F7" s="3" t="str">
        <f>UPPER("salestk")</f>
        <v>SALESTK</v>
      </c>
      <c r="G7" s="3" t="str">
        <f>UPPER("ucstk")</f>
        <v>UCSTK</v>
      </c>
      <c r="H7" s="3" t="str">
        <f>UPPER("dbstk")</f>
        <v>DBSTK</v>
      </c>
      <c r="I7" s="3" t="str">
        <f>UPPER("closestk")</f>
        <v>CLOSESTK</v>
      </c>
      <c r="J7" s="3" t="str">
        <f>UPPER("openval")</f>
        <v>OPENVAL</v>
      </c>
      <c r="K7" s="3" t="str">
        <f>UPPER("purval")</f>
        <v>PURVAL</v>
      </c>
      <c r="L7" s="3" t="str">
        <f>UPPER("saleval")</f>
        <v>SALEVAL</v>
      </c>
      <c r="M7" s="3" t="str">
        <f>UPPER("clsval")</f>
        <v>CLSVAL</v>
      </c>
      <c r="N7" s="3" t="str">
        <f>UPPER("hsncode")</f>
        <v>HSNCODE</v>
      </c>
      <c r="O7" s="3" t="str">
        <f>UPPER("taxper")</f>
        <v>TAXPER</v>
      </c>
    </row>
    <row r="8" spans="1:15" x14ac:dyDescent="0.25">
      <c r="A8" t="s">
        <v>0</v>
      </c>
      <c r="B8" t="s">
        <v>1</v>
      </c>
      <c r="C8">
        <v>25</v>
      </c>
      <c r="D8">
        <v>0</v>
      </c>
      <c r="E8">
        <v>0</v>
      </c>
      <c r="F8">
        <v>16</v>
      </c>
      <c r="G8">
        <v>0</v>
      </c>
      <c r="H8">
        <v>0</v>
      </c>
      <c r="I8">
        <v>9</v>
      </c>
      <c r="J8">
        <v>1942</v>
      </c>
      <c r="K8">
        <v>0</v>
      </c>
      <c r="L8">
        <v>1401.92</v>
      </c>
      <c r="M8">
        <v>699.12</v>
      </c>
      <c r="N8" t="s">
        <v>2</v>
      </c>
      <c r="O8">
        <v>5</v>
      </c>
    </row>
    <row r="9" spans="1:15" x14ac:dyDescent="0.25">
      <c r="A9" t="s">
        <v>3</v>
      </c>
      <c r="B9" t="s">
        <v>4</v>
      </c>
      <c r="C9">
        <v>29</v>
      </c>
      <c r="D9">
        <v>0</v>
      </c>
      <c r="E9">
        <v>0</v>
      </c>
      <c r="F9">
        <v>0</v>
      </c>
      <c r="G9">
        <v>0</v>
      </c>
      <c r="H9">
        <v>0</v>
      </c>
      <c r="I9">
        <v>29</v>
      </c>
      <c r="J9">
        <v>3948.35</v>
      </c>
      <c r="K9">
        <v>0</v>
      </c>
      <c r="L9">
        <v>0</v>
      </c>
      <c r="M9">
        <v>3948.35</v>
      </c>
      <c r="N9" t="s">
        <v>5</v>
      </c>
      <c r="O9">
        <v>5</v>
      </c>
    </row>
    <row r="10" spans="1:15" x14ac:dyDescent="0.25">
      <c r="A10" t="s">
        <v>6</v>
      </c>
      <c r="B10" t="s">
        <v>7</v>
      </c>
      <c r="C10">
        <v>18</v>
      </c>
      <c r="D10">
        <v>0</v>
      </c>
      <c r="E10">
        <v>0</v>
      </c>
      <c r="F10">
        <v>1</v>
      </c>
      <c r="G10">
        <v>0</v>
      </c>
      <c r="H10">
        <v>0</v>
      </c>
      <c r="I10">
        <v>17</v>
      </c>
      <c r="J10">
        <v>2248.7399999999998</v>
      </c>
      <c r="K10">
        <v>0</v>
      </c>
      <c r="L10">
        <v>140.93</v>
      </c>
      <c r="M10">
        <v>2123.81</v>
      </c>
      <c r="N10" t="s">
        <v>5</v>
      </c>
      <c r="O10">
        <v>5</v>
      </c>
    </row>
    <row r="11" spans="1:15" x14ac:dyDescent="0.25">
      <c r="A11" t="s">
        <v>8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5</v>
      </c>
      <c r="O11">
        <v>5</v>
      </c>
    </row>
    <row r="12" spans="1:15" x14ac:dyDescent="0.25">
      <c r="A12" t="s">
        <v>10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12</v>
      </c>
      <c r="O12">
        <v>18</v>
      </c>
    </row>
    <row r="13" spans="1:15" x14ac:dyDescent="0.25">
      <c r="A13" t="s">
        <v>13</v>
      </c>
      <c r="B13" t="s">
        <v>14</v>
      </c>
      <c r="C13">
        <v>0</v>
      </c>
      <c r="D13">
        <v>50</v>
      </c>
      <c r="E13">
        <v>0</v>
      </c>
      <c r="F13">
        <v>1</v>
      </c>
      <c r="G13">
        <v>10</v>
      </c>
      <c r="H13">
        <v>0</v>
      </c>
      <c r="I13">
        <v>39</v>
      </c>
      <c r="J13">
        <v>0</v>
      </c>
      <c r="K13">
        <v>8679</v>
      </c>
      <c r="L13">
        <v>195.8</v>
      </c>
      <c r="M13">
        <v>6769.62</v>
      </c>
      <c r="N13" t="s">
        <v>5</v>
      </c>
      <c r="O13">
        <v>5</v>
      </c>
    </row>
    <row r="14" spans="1:15" x14ac:dyDescent="0.25">
      <c r="A14" t="s">
        <v>15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17</v>
      </c>
      <c r="O14">
        <v>18</v>
      </c>
    </row>
    <row r="15" spans="1:15" x14ac:dyDescent="0.25">
      <c r="A15" t="s">
        <v>18</v>
      </c>
      <c r="B15" t="s">
        <v>19</v>
      </c>
      <c r="C15">
        <v>30</v>
      </c>
      <c r="D15">
        <v>0</v>
      </c>
      <c r="E15">
        <v>0</v>
      </c>
      <c r="F15">
        <v>20</v>
      </c>
      <c r="G15">
        <v>10</v>
      </c>
      <c r="H15">
        <v>0</v>
      </c>
      <c r="I15">
        <v>0</v>
      </c>
      <c r="J15">
        <v>3890.4</v>
      </c>
      <c r="K15">
        <v>0</v>
      </c>
      <c r="L15">
        <v>2925.6</v>
      </c>
      <c r="M15">
        <v>0</v>
      </c>
      <c r="N15" t="s">
        <v>5</v>
      </c>
      <c r="O15">
        <v>5</v>
      </c>
    </row>
    <row r="16" spans="1:15" x14ac:dyDescent="0.25">
      <c r="A16" t="s">
        <v>20</v>
      </c>
      <c r="B16" t="s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21</v>
      </c>
      <c r="O16">
        <v>18</v>
      </c>
    </row>
    <row r="17" spans="1:15" x14ac:dyDescent="0.25">
      <c r="A17" t="s">
        <v>22</v>
      </c>
      <c r="B17" t="s">
        <v>23</v>
      </c>
      <c r="C17">
        <v>40</v>
      </c>
      <c r="D17">
        <v>0</v>
      </c>
      <c r="E17">
        <v>0</v>
      </c>
      <c r="F17">
        <v>40</v>
      </c>
      <c r="G17">
        <v>0</v>
      </c>
      <c r="H17">
        <v>0</v>
      </c>
      <c r="I17">
        <v>0</v>
      </c>
      <c r="J17">
        <v>4327.6000000000004</v>
      </c>
      <c r="K17">
        <v>0</v>
      </c>
      <c r="L17">
        <v>4881.6000000000004</v>
      </c>
      <c r="M17">
        <v>0</v>
      </c>
      <c r="N17" t="s">
        <v>21</v>
      </c>
      <c r="O17">
        <v>18</v>
      </c>
    </row>
    <row r="18" spans="1:15" x14ac:dyDescent="0.25">
      <c r="A18" t="s">
        <v>24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26</v>
      </c>
      <c r="O18">
        <v>18</v>
      </c>
    </row>
    <row r="19" spans="1:15" x14ac:dyDescent="0.25">
      <c r="A19" t="s">
        <v>27</v>
      </c>
      <c r="B19" t="s">
        <v>28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>
        <v>73.5</v>
      </c>
      <c r="K19">
        <v>0</v>
      </c>
      <c r="L19">
        <v>0</v>
      </c>
      <c r="M19">
        <v>73.5</v>
      </c>
      <c r="N19" t="s">
        <v>29</v>
      </c>
      <c r="O19">
        <v>5</v>
      </c>
    </row>
    <row r="20" spans="1:15" x14ac:dyDescent="0.25">
      <c r="A20" t="s">
        <v>30</v>
      </c>
      <c r="B20" t="s">
        <v>9</v>
      </c>
      <c r="C20">
        <v>130</v>
      </c>
      <c r="D20">
        <v>0</v>
      </c>
      <c r="E20">
        <v>0</v>
      </c>
      <c r="F20">
        <v>20</v>
      </c>
      <c r="G20">
        <v>0</v>
      </c>
      <c r="H20">
        <v>0</v>
      </c>
      <c r="I20">
        <v>110</v>
      </c>
      <c r="J20">
        <v>21336.9</v>
      </c>
      <c r="K20">
        <v>0</v>
      </c>
      <c r="L20">
        <v>3702.8</v>
      </c>
      <c r="M20">
        <v>18054.3</v>
      </c>
      <c r="N20" t="s">
        <v>5</v>
      </c>
      <c r="O20">
        <v>5</v>
      </c>
    </row>
    <row r="21" spans="1:15" x14ac:dyDescent="0.25">
      <c r="A21" t="s">
        <v>31</v>
      </c>
      <c r="B21" t="s">
        <v>23</v>
      </c>
      <c r="C21">
        <v>0</v>
      </c>
      <c r="D21">
        <v>50</v>
      </c>
      <c r="E21">
        <v>0</v>
      </c>
      <c r="F21">
        <v>11</v>
      </c>
      <c r="G21">
        <v>20</v>
      </c>
      <c r="H21">
        <v>0</v>
      </c>
      <c r="I21">
        <v>19</v>
      </c>
      <c r="J21">
        <v>0</v>
      </c>
      <c r="K21">
        <v>9624.5</v>
      </c>
      <c r="L21">
        <v>2388.54</v>
      </c>
      <c r="M21">
        <v>3657.31</v>
      </c>
      <c r="N21" t="s">
        <v>5</v>
      </c>
      <c r="O21">
        <v>5</v>
      </c>
    </row>
    <row r="22" spans="1:15" x14ac:dyDescent="0.25">
      <c r="A22" t="s">
        <v>32</v>
      </c>
      <c r="B22" t="s">
        <v>9</v>
      </c>
      <c r="C22">
        <v>56</v>
      </c>
      <c r="D22">
        <v>0</v>
      </c>
      <c r="E22">
        <v>0</v>
      </c>
      <c r="F22">
        <v>5</v>
      </c>
      <c r="G22">
        <v>0</v>
      </c>
      <c r="H22">
        <v>0</v>
      </c>
      <c r="I22">
        <v>51</v>
      </c>
      <c r="J22">
        <v>6737.92</v>
      </c>
      <c r="K22">
        <v>0</v>
      </c>
      <c r="L22">
        <v>746.7</v>
      </c>
      <c r="M22">
        <v>6136.32</v>
      </c>
      <c r="N22" t="s">
        <v>5</v>
      </c>
      <c r="O22">
        <v>5</v>
      </c>
    </row>
    <row r="23" spans="1:15" x14ac:dyDescent="0.25">
      <c r="A23" t="s">
        <v>33</v>
      </c>
      <c r="B23" t="s">
        <v>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5</v>
      </c>
      <c r="O23">
        <v>5</v>
      </c>
    </row>
    <row r="24" spans="1:15" x14ac:dyDescent="0.25">
      <c r="A24" t="s">
        <v>35</v>
      </c>
      <c r="B24" t="s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5</v>
      </c>
      <c r="O24">
        <v>5</v>
      </c>
    </row>
    <row r="25" spans="1:15" x14ac:dyDescent="0.25">
      <c r="A25" t="s">
        <v>36</v>
      </c>
      <c r="B25" t="s">
        <v>23</v>
      </c>
      <c r="C25">
        <v>21</v>
      </c>
      <c r="D25">
        <v>0</v>
      </c>
      <c r="E25">
        <v>0</v>
      </c>
      <c r="F25">
        <v>9</v>
      </c>
      <c r="G25">
        <v>0</v>
      </c>
      <c r="H25">
        <v>0</v>
      </c>
      <c r="I25">
        <v>12</v>
      </c>
      <c r="J25">
        <v>4633.2299999999996</v>
      </c>
      <c r="K25">
        <v>0</v>
      </c>
      <c r="L25">
        <v>2228.58</v>
      </c>
      <c r="M25">
        <v>2647.56</v>
      </c>
      <c r="N25" t="s">
        <v>29</v>
      </c>
      <c r="O25">
        <v>5</v>
      </c>
    </row>
    <row r="26" spans="1:15" x14ac:dyDescent="0.25">
      <c r="A26" t="s">
        <v>37</v>
      </c>
      <c r="B26" t="s">
        <v>23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25</v>
      </c>
      <c r="J26">
        <v>5278.5</v>
      </c>
      <c r="K26">
        <v>0</v>
      </c>
      <c r="L26">
        <v>0</v>
      </c>
      <c r="M26">
        <v>5278.5</v>
      </c>
      <c r="N26" t="s">
        <v>38</v>
      </c>
      <c r="O26">
        <v>18</v>
      </c>
    </row>
    <row r="27" spans="1:15" x14ac:dyDescent="0.25">
      <c r="A27" t="s">
        <v>39</v>
      </c>
      <c r="B27" t="s">
        <v>40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25</v>
      </c>
      <c r="J27">
        <v>723</v>
      </c>
      <c r="K27">
        <v>0</v>
      </c>
      <c r="L27">
        <v>0</v>
      </c>
      <c r="M27">
        <v>723</v>
      </c>
      <c r="N27" t="s">
        <v>17</v>
      </c>
      <c r="O27">
        <v>18</v>
      </c>
    </row>
    <row r="28" spans="1:15" x14ac:dyDescent="0.25">
      <c r="A28" t="s">
        <v>41</v>
      </c>
      <c r="B28" t="s">
        <v>42</v>
      </c>
      <c r="C28">
        <v>81</v>
      </c>
      <c r="D28">
        <v>0</v>
      </c>
      <c r="E28">
        <v>0</v>
      </c>
      <c r="F28">
        <v>20</v>
      </c>
      <c r="G28">
        <v>0</v>
      </c>
      <c r="H28">
        <v>0</v>
      </c>
      <c r="I28">
        <v>61</v>
      </c>
      <c r="J28">
        <v>4615.38</v>
      </c>
      <c r="K28">
        <v>0</v>
      </c>
      <c r="L28">
        <v>1280</v>
      </c>
      <c r="M28">
        <v>3475.78</v>
      </c>
      <c r="N28" t="s">
        <v>5</v>
      </c>
      <c r="O28">
        <v>5</v>
      </c>
    </row>
    <row r="29" spans="1:15" x14ac:dyDescent="0.25">
      <c r="A29" t="s">
        <v>43</v>
      </c>
      <c r="B29" t="s">
        <v>44</v>
      </c>
      <c r="C29">
        <v>90</v>
      </c>
      <c r="D29">
        <v>0</v>
      </c>
      <c r="E29">
        <v>0</v>
      </c>
      <c r="F29">
        <v>3</v>
      </c>
      <c r="G29">
        <v>0</v>
      </c>
      <c r="H29">
        <v>0</v>
      </c>
      <c r="I29">
        <v>87</v>
      </c>
      <c r="J29">
        <v>13374</v>
      </c>
      <c r="K29">
        <v>0</v>
      </c>
      <c r="L29">
        <v>502.86</v>
      </c>
      <c r="M29">
        <v>12928.2</v>
      </c>
      <c r="N29" t="s">
        <v>5</v>
      </c>
      <c r="O29">
        <v>5</v>
      </c>
    </row>
    <row r="30" spans="1:15" x14ac:dyDescent="0.25">
      <c r="A30" t="s">
        <v>45</v>
      </c>
      <c r="B30" t="s">
        <v>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5</v>
      </c>
      <c r="O30">
        <v>5</v>
      </c>
    </row>
    <row r="31" spans="1:15" x14ac:dyDescent="0.25">
      <c r="A31" t="s">
        <v>47</v>
      </c>
      <c r="B31" t="s">
        <v>46</v>
      </c>
      <c r="C31">
        <v>9</v>
      </c>
      <c r="D31">
        <v>28</v>
      </c>
      <c r="E31">
        <v>0</v>
      </c>
      <c r="F31">
        <v>0</v>
      </c>
      <c r="G31">
        <v>0</v>
      </c>
      <c r="H31">
        <v>0</v>
      </c>
      <c r="I31">
        <v>37</v>
      </c>
      <c r="J31">
        <v>755.46</v>
      </c>
      <c r="K31">
        <v>2350.3200000000002</v>
      </c>
      <c r="L31">
        <v>0</v>
      </c>
      <c r="M31">
        <v>3105.78</v>
      </c>
      <c r="N31" t="s">
        <v>5</v>
      </c>
      <c r="O31">
        <v>5</v>
      </c>
    </row>
    <row r="32" spans="1:15" x14ac:dyDescent="0.25">
      <c r="A32" t="s">
        <v>48</v>
      </c>
      <c r="B32" t="s">
        <v>46</v>
      </c>
      <c r="C32">
        <v>6</v>
      </c>
      <c r="D32">
        <v>56</v>
      </c>
      <c r="E32">
        <v>0</v>
      </c>
      <c r="F32">
        <v>0</v>
      </c>
      <c r="G32">
        <v>28</v>
      </c>
      <c r="H32">
        <v>0</v>
      </c>
      <c r="I32">
        <v>34</v>
      </c>
      <c r="J32">
        <v>384</v>
      </c>
      <c r="K32">
        <v>5484.64</v>
      </c>
      <c r="L32">
        <v>0</v>
      </c>
      <c r="M32">
        <v>2176</v>
      </c>
      <c r="N32" t="s">
        <v>5</v>
      </c>
      <c r="O32">
        <v>5</v>
      </c>
    </row>
    <row r="33" spans="1:15" x14ac:dyDescent="0.25">
      <c r="A33" t="s">
        <v>49</v>
      </c>
      <c r="B33" t="s">
        <v>19</v>
      </c>
      <c r="C33">
        <v>11</v>
      </c>
      <c r="D33">
        <v>0</v>
      </c>
      <c r="E33">
        <v>0</v>
      </c>
      <c r="F33">
        <v>5</v>
      </c>
      <c r="G33">
        <v>6</v>
      </c>
      <c r="H33">
        <v>0</v>
      </c>
      <c r="I33">
        <v>0</v>
      </c>
      <c r="J33">
        <v>2258.63</v>
      </c>
      <c r="K33">
        <v>0</v>
      </c>
      <c r="L33">
        <v>1158.0999999999999</v>
      </c>
      <c r="M33">
        <v>0</v>
      </c>
      <c r="N33" t="s">
        <v>5</v>
      </c>
      <c r="O33">
        <v>5</v>
      </c>
    </row>
    <row r="34" spans="1:15" x14ac:dyDescent="0.25">
      <c r="A34" t="s">
        <v>50</v>
      </c>
      <c r="B34" t="s">
        <v>46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51</v>
      </c>
      <c r="O34">
        <v>18</v>
      </c>
    </row>
    <row r="35" spans="1:15" x14ac:dyDescent="0.25">
      <c r="A35" t="s">
        <v>52</v>
      </c>
      <c r="B35" t="s">
        <v>46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2</v>
      </c>
      <c r="J35">
        <v>289.24</v>
      </c>
      <c r="K35">
        <v>0</v>
      </c>
      <c r="L35">
        <v>0</v>
      </c>
      <c r="M35">
        <v>289.24</v>
      </c>
      <c r="N35" t="s">
        <v>51</v>
      </c>
      <c r="O35">
        <v>18</v>
      </c>
    </row>
    <row r="36" spans="1:15" x14ac:dyDescent="0.25">
      <c r="A36" t="s">
        <v>53</v>
      </c>
      <c r="B36" t="s">
        <v>46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51</v>
      </c>
      <c r="O36">
        <v>18</v>
      </c>
    </row>
    <row r="37" spans="1:15" x14ac:dyDescent="0.25">
      <c r="A37" t="s">
        <v>54</v>
      </c>
      <c r="B37" t="s">
        <v>55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51</v>
      </c>
      <c r="O37">
        <v>18</v>
      </c>
    </row>
    <row r="38" spans="1:15" x14ac:dyDescent="0.25">
      <c r="A38" t="s">
        <v>56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51</v>
      </c>
      <c r="O38">
        <v>18</v>
      </c>
    </row>
    <row r="39" spans="1:15" x14ac:dyDescent="0.25">
      <c r="A39" t="s">
        <v>57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38</v>
      </c>
      <c r="O39">
        <v>18</v>
      </c>
    </row>
    <row r="40" spans="1:15" x14ac:dyDescent="0.25">
      <c r="A40" t="s">
        <v>58</v>
      </c>
      <c r="B40" t="s">
        <v>59</v>
      </c>
      <c r="C40">
        <v>23</v>
      </c>
      <c r="D40">
        <v>0</v>
      </c>
      <c r="E40">
        <v>0</v>
      </c>
      <c r="F40">
        <v>10</v>
      </c>
      <c r="G40">
        <v>0</v>
      </c>
      <c r="H40">
        <v>0</v>
      </c>
      <c r="I40">
        <v>13</v>
      </c>
      <c r="J40">
        <v>4684.18</v>
      </c>
      <c r="K40">
        <v>0</v>
      </c>
      <c r="L40">
        <v>2285.8000000000002</v>
      </c>
      <c r="M40">
        <v>2647.58</v>
      </c>
      <c r="N40" t="s">
        <v>5</v>
      </c>
      <c r="O40">
        <v>5</v>
      </c>
    </row>
    <row r="41" spans="1:15" x14ac:dyDescent="0.25">
      <c r="A41" t="s">
        <v>60</v>
      </c>
      <c r="B41" t="s">
        <v>61</v>
      </c>
      <c r="C41">
        <v>31</v>
      </c>
      <c r="D41">
        <v>0</v>
      </c>
      <c r="E41">
        <v>0</v>
      </c>
      <c r="F41">
        <v>3</v>
      </c>
      <c r="G41">
        <v>0</v>
      </c>
      <c r="H41">
        <v>0</v>
      </c>
      <c r="I41">
        <v>28</v>
      </c>
      <c r="J41">
        <v>4318.3</v>
      </c>
      <c r="K41">
        <v>0</v>
      </c>
      <c r="L41">
        <v>514.26</v>
      </c>
      <c r="M41">
        <v>3900.4</v>
      </c>
      <c r="N41" t="s">
        <v>5</v>
      </c>
      <c r="O41">
        <v>5</v>
      </c>
    </row>
    <row r="42" spans="1:15" x14ac:dyDescent="0.25">
      <c r="A42" t="s">
        <v>62</v>
      </c>
      <c r="B42" t="s">
        <v>63</v>
      </c>
      <c r="C42">
        <v>20</v>
      </c>
      <c r="D42">
        <v>560</v>
      </c>
      <c r="E42">
        <v>0</v>
      </c>
      <c r="F42">
        <v>215</v>
      </c>
      <c r="G42">
        <v>209</v>
      </c>
      <c r="H42">
        <v>20</v>
      </c>
      <c r="I42">
        <v>136</v>
      </c>
      <c r="J42">
        <v>1891</v>
      </c>
      <c r="K42">
        <v>52948</v>
      </c>
      <c r="L42">
        <v>22931.9</v>
      </c>
      <c r="M42">
        <v>12858.8</v>
      </c>
      <c r="N42" t="s">
        <v>5</v>
      </c>
      <c r="O42">
        <v>5</v>
      </c>
    </row>
    <row r="43" spans="1:15" x14ac:dyDescent="0.25">
      <c r="A43" t="s">
        <v>62</v>
      </c>
      <c r="B43" t="s">
        <v>64</v>
      </c>
      <c r="C43">
        <v>186</v>
      </c>
      <c r="D43">
        <v>0</v>
      </c>
      <c r="E43">
        <v>0</v>
      </c>
      <c r="F43">
        <v>134</v>
      </c>
      <c r="G43">
        <v>35</v>
      </c>
      <c r="H43">
        <v>0</v>
      </c>
      <c r="I43">
        <v>17</v>
      </c>
      <c r="J43">
        <v>27087.18</v>
      </c>
      <c r="K43">
        <v>0</v>
      </c>
      <c r="L43">
        <v>23889.52</v>
      </c>
      <c r="M43">
        <v>2475.71</v>
      </c>
      <c r="N43" t="s">
        <v>5</v>
      </c>
      <c r="O43">
        <v>5</v>
      </c>
    </row>
    <row r="44" spans="1:15" x14ac:dyDescent="0.25">
      <c r="A44" t="s">
        <v>65</v>
      </c>
      <c r="B44" t="s">
        <v>44</v>
      </c>
      <c r="C44">
        <v>137</v>
      </c>
      <c r="D44">
        <v>0</v>
      </c>
      <c r="E44">
        <v>8</v>
      </c>
      <c r="F44">
        <v>50</v>
      </c>
      <c r="G44">
        <v>85</v>
      </c>
      <c r="H44">
        <v>0</v>
      </c>
      <c r="I44">
        <v>10</v>
      </c>
      <c r="J44">
        <v>20358.2</v>
      </c>
      <c r="K44">
        <v>0</v>
      </c>
      <c r="L44">
        <v>8381</v>
      </c>
      <c r="M44">
        <v>1486</v>
      </c>
      <c r="N44" t="s">
        <v>5</v>
      </c>
      <c r="O44">
        <v>5</v>
      </c>
    </row>
    <row r="45" spans="1:15" x14ac:dyDescent="0.25">
      <c r="A45" t="s">
        <v>66</v>
      </c>
      <c r="B45" t="s">
        <v>63</v>
      </c>
      <c r="C45">
        <v>168</v>
      </c>
      <c r="D45">
        <v>0</v>
      </c>
      <c r="E45">
        <v>0</v>
      </c>
      <c r="F45">
        <v>0</v>
      </c>
      <c r="G45">
        <v>0</v>
      </c>
      <c r="H45">
        <v>0</v>
      </c>
      <c r="I45">
        <v>168</v>
      </c>
      <c r="J45">
        <v>15358.56</v>
      </c>
      <c r="K45">
        <v>0</v>
      </c>
      <c r="L45">
        <v>0</v>
      </c>
      <c r="M45">
        <v>15358.56</v>
      </c>
      <c r="N45" t="s">
        <v>29</v>
      </c>
      <c r="O45">
        <v>5</v>
      </c>
    </row>
    <row r="46" spans="1:15" x14ac:dyDescent="0.25">
      <c r="A46" t="s">
        <v>67</v>
      </c>
      <c r="B46" t="s">
        <v>59</v>
      </c>
      <c r="C46">
        <v>38</v>
      </c>
      <c r="D46">
        <v>0</v>
      </c>
      <c r="E46">
        <v>0</v>
      </c>
      <c r="F46">
        <v>0</v>
      </c>
      <c r="G46">
        <v>0</v>
      </c>
      <c r="H46">
        <v>0</v>
      </c>
      <c r="I46">
        <v>38</v>
      </c>
      <c r="J46">
        <v>7739.08</v>
      </c>
      <c r="K46">
        <v>0</v>
      </c>
      <c r="L46">
        <v>0</v>
      </c>
      <c r="M46">
        <v>7739.08</v>
      </c>
      <c r="N46" t="s">
        <v>5</v>
      </c>
      <c r="O46">
        <v>5</v>
      </c>
    </row>
    <row r="47" spans="1:15" x14ac:dyDescent="0.25">
      <c r="A47" t="s">
        <v>68</v>
      </c>
      <c r="B47" t="s">
        <v>69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29</v>
      </c>
      <c r="O47">
        <v>5</v>
      </c>
    </row>
    <row r="48" spans="1:15" x14ac:dyDescent="0.25">
      <c r="A48" t="s">
        <v>70</v>
      </c>
      <c r="B48" t="s">
        <v>71</v>
      </c>
      <c r="C48">
        <v>72</v>
      </c>
      <c r="D48">
        <v>0</v>
      </c>
      <c r="E48">
        <v>0</v>
      </c>
      <c r="F48">
        <v>49</v>
      </c>
      <c r="G48">
        <v>0</v>
      </c>
      <c r="H48">
        <v>0</v>
      </c>
      <c r="I48">
        <v>23</v>
      </c>
      <c r="J48">
        <v>5009.04</v>
      </c>
      <c r="K48">
        <v>0</v>
      </c>
      <c r="L48">
        <v>3610.08</v>
      </c>
      <c r="M48">
        <v>1600.11</v>
      </c>
      <c r="N48" t="s">
        <v>5</v>
      </c>
      <c r="O48">
        <v>5</v>
      </c>
    </row>
    <row r="49" spans="1:15" x14ac:dyDescent="0.25">
      <c r="A49" t="s">
        <v>72</v>
      </c>
      <c r="B49" t="s">
        <v>46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29</v>
      </c>
      <c r="O49">
        <v>5</v>
      </c>
    </row>
    <row r="50" spans="1:15" x14ac:dyDescent="0.25">
      <c r="A50" t="s">
        <v>73</v>
      </c>
      <c r="B50" t="s">
        <v>7</v>
      </c>
      <c r="C50">
        <v>5</v>
      </c>
      <c r="D50">
        <v>0</v>
      </c>
      <c r="E50">
        <v>0</v>
      </c>
      <c r="F50">
        <v>0</v>
      </c>
      <c r="G50">
        <v>5</v>
      </c>
      <c r="H50">
        <v>0</v>
      </c>
      <c r="I50">
        <v>0</v>
      </c>
      <c r="J50">
        <v>567.35</v>
      </c>
      <c r="K50">
        <v>0</v>
      </c>
      <c r="L50">
        <v>0</v>
      </c>
      <c r="M50">
        <v>0</v>
      </c>
      <c r="N50" t="s">
        <v>29</v>
      </c>
      <c r="O50">
        <v>5</v>
      </c>
    </row>
    <row r="51" spans="1:15" x14ac:dyDescent="0.25">
      <c r="A51" t="s">
        <v>74</v>
      </c>
      <c r="B51" t="s">
        <v>61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5</v>
      </c>
      <c r="O51">
        <v>5</v>
      </c>
    </row>
    <row r="52" spans="1:15" x14ac:dyDescent="0.25">
      <c r="A52" t="s">
        <v>75</v>
      </c>
      <c r="B52" t="s">
        <v>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29</v>
      </c>
      <c r="O52">
        <v>5</v>
      </c>
    </row>
    <row r="53" spans="1:15" x14ac:dyDescent="0.25">
      <c r="A53" t="s">
        <v>76</v>
      </c>
      <c r="B53" t="s">
        <v>14</v>
      </c>
      <c r="C53">
        <v>2</v>
      </c>
      <c r="D53">
        <v>100</v>
      </c>
      <c r="E53">
        <v>0</v>
      </c>
      <c r="F53">
        <v>42</v>
      </c>
      <c r="G53">
        <v>50</v>
      </c>
      <c r="H53">
        <v>0</v>
      </c>
      <c r="I53">
        <v>10</v>
      </c>
      <c r="J53">
        <v>202.62</v>
      </c>
      <c r="K53">
        <v>10131</v>
      </c>
      <c r="L53">
        <v>4799.76</v>
      </c>
      <c r="M53">
        <v>1013.1</v>
      </c>
      <c r="N53" t="s">
        <v>29</v>
      </c>
      <c r="O53">
        <v>5</v>
      </c>
    </row>
    <row r="54" spans="1:15" x14ac:dyDescent="0.25">
      <c r="A54" t="s">
        <v>77</v>
      </c>
      <c r="B54" t="s">
        <v>14</v>
      </c>
      <c r="C54">
        <v>26</v>
      </c>
      <c r="D54">
        <v>0</v>
      </c>
      <c r="E54">
        <v>0</v>
      </c>
      <c r="F54">
        <v>7</v>
      </c>
      <c r="G54">
        <v>10</v>
      </c>
      <c r="H54">
        <v>0</v>
      </c>
      <c r="I54">
        <v>9</v>
      </c>
      <c r="J54">
        <v>2704.52</v>
      </c>
      <c r="K54">
        <v>0</v>
      </c>
      <c r="L54">
        <v>821.38</v>
      </c>
      <c r="M54">
        <v>936.18</v>
      </c>
      <c r="N54" t="s">
        <v>29</v>
      </c>
      <c r="O54">
        <v>5</v>
      </c>
    </row>
    <row r="55" spans="1:15" x14ac:dyDescent="0.25">
      <c r="A55" t="s">
        <v>78</v>
      </c>
      <c r="B55" t="s">
        <v>9</v>
      </c>
      <c r="C55">
        <v>0</v>
      </c>
      <c r="D55">
        <v>200</v>
      </c>
      <c r="E55">
        <v>0</v>
      </c>
      <c r="F55">
        <v>53</v>
      </c>
      <c r="G55">
        <v>100</v>
      </c>
      <c r="H55">
        <v>0</v>
      </c>
      <c r="I55">
        <v>47</v>
      </c>
      <c r="J55">
        <v>0</v>
      </c>
      <c r="K55">
        <v>33094</v>
      </c>
      <c r="L55">
        <v>9892.98</v>
      </c>
      <c r="M55">
        <v>7777.09</v>
      </c>
      <c r="N55" t="s">
        <v>5</v>
      </c>
      <c r="O55">
        <v>5</v>
      </c>
    </row>
    <row r="56" spans="1:15" x14ac:dyDescent="0.25">
      <c r="A56" t="s">
        <v>79</v>
      </c>
      <c r="B56" t="s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2</v>
      </c>
      <c r="O56">
        <v>18</v>
      </c>
    </row>
    <row r="57" spans="1:15" x14ac:dyDescent="0.25">
      <c r="A57" t="s">
        <v>80</v>
      </c>
      <c r="B57" t="s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</v>
      </c>
      <c r="O57">
        <v>18</v>
      </c>
    </row>
    <row r="58" spans="1:15" x14ac:dyDescent="0.25">
      <c r="A58" t="s">
        <v>81</v>
      </c>
      <c r="B58" t="s">
        <v>11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7</v>
      </c>
      <c r="J58">
        <v>243.04</v>
      </c>
      <c r="K58">
        <v>0</v>
      </c>
      <c r="L58">
        <v>0</v>
      </c>
      <c r="M58">
        <v>243.04</v>
      </c>
      <c r="N58" t="s">
        <v>82</v>
      </c>
      <c r="O58">
        <v>18</v>
      </c>
    </row>
    <row r="59" spans="1:15" x14ac:dyDescent="0.25">
      <c r="A59" t="s">
        <v>83</v>
      </c>
      <c r="B59" t="s">
        <v>7</v>
      </c>
      <c r="C59">
        <v>13</v>
      </c>
      <c r="D59">
        <v>0</v>
      </c>
      <c r="E59">
        <v>0</v>
      </c>
      <c r="F59">
        <v>0</v>
      </c>
      <c r="G59">
        <v>0</v>
      </c>
      <c r="H59">
        <v>0</v>
      </c>
      <c r="I59">
        <v>13</v>
      </c>
      <c r="J59">
        <v>425.75</v>
      </c>
      <c r="K59">
        <v>0</v>
      </c>
      <c r="L59">
        <v>0</v>
      </c>
      <c r="M59">
        <v>425.75</v>
      </c>
      <c r="N59" t="s">
        <v>82</v>
      </c>
      <c r="O59">
        <v>18</v>
      </c>
    </row>
    <row r="60" spans="1:15" x14ac:dyDescent="0.25">
      <c r="A60" t="s">
        <v>84</v>
      </c>
      <c r="B60" t="s">
        <v>85</v>
      </c>
      <c r="C60">
        <v>24</v>
      </c>
      <c r="D60">
        <v>0</v>
      </c>
      <c r="E60">
        <v>0</v>
      </c>
      <c r="F60">
        <v>0</v>
      </c>
      <c r="G60">
        <v>0</v>
      </c>
      <c r="H60">
        <v>0</v>
      </c>
      <c r="I60">
        <v>24</v>
      </c>
      <c r="J60">
        <v>3929.28</v>
      </c>
      <c r="K60">
        <v>0</v>
      </c>
      <c r="L60">
        <v>0</v>
      </c>
      <c r="M60">
        <v>3929.28</v>
      </c>
      <c r="N60" t="s">
        <v>2</v>
      </c>
      <c r="O60">
        <v>18</v>
      </c>
    </row>
    <row r="61" spans="1:15" x14ac:dyDescent="0.25">
      <c r="A61" t="s">
        <v>86</v>
      </c>
      <c r="B61" t="s">
        <v>9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221.62</v>
      </c>
      <c r="K61">
        <v>0</v>
      </c>
      <c r="L61">
        <v>0</v>
      </c>
      <c r="M61">
        <v>221.62</v>
      </c>
      <c r="N61" t="s">
        <v>5</v>
      </c>
      <c r="O61">
        <v>5</v>
      </c>
    </row>
    <row r="62" spans="1:15" x14ac:dyDescent="0.25">
      <c r="A62" t="s">
        <v>87</v>
      </c>
      <c r="B62" t="s">
        <v>88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51</v>
      </c>
      <c r="O62">
        <v>5</v>
      </c>
    </row>
    <row r="63" spans="1:15" x14ac:dyDescent="0.25">
      <c r="A63" t="s">
        <v>89</v>
      </c>
      <c r="B63" t="s">
        <v>90</v>
      </c>
      <c r="C63">
        <v>12</v>
      </c>
      <c r="D63">
        <v>0</v>
      </c>
      <c r="E63">
        <v>0</v>
      </c>
      <c r="F63">
        <v>6</v>
      </c>
      <c r="G63">
        <v>0</v>
      </c>
      <c r="H63">
        <v>0</v>
      </c>
      <c r="I63">
        <v>6</v>
      </c>
      <c r="J63">
        <v>3337.44</v>
      </c>
      <c r="K63">
        <v>0</v>
      </c>
      <c r="L63">
        <v>1832.16</v>
      </c>
      <c r="M63">
        <v>1668.72</v>
      </c>
      <c r="N63" t="s">
        <v>51</v>
      </c>
      <c r="O63">
        <v>5</v>
      </c>
    </row>
    <row r="64" spans="1:15" x14ac:dyDescent="0.25">
      <c r="A64" t="s">
        <v>91</v>
      </c>
      <c r="B64" t="s">
        <v>88</v>
      </c>
      <c r="C64">
        <v>12</v>
      </c>
      <c r="D64">
        <v>0</v>
      </c>
      <c r="E64">
        <v>0</v>
      </c>
      <c r="F64">
        <v>0</v>
      </c>
      <c r="G64">
        <v>0</v>
      </c>
      <c r="H64">
        <v>0</v>
      </c>
      <c r="I64">
        <v>12</v>
      </c>
      <c r="J64">
        <v>3337.44</v>
      </c>
      <c r="K64">
        <v>0</v>
      </c>
      <c r="L64">
        <v>0</v>
      </c>
      <c r="M64">
        <v>3337.44</v>
      </c>
      <c r="N64" t="s">
        <v>51</v>
      </c>
      <c r="O64">
        <v>5</v>
      </c>
    </row>
    <row r="65" spans="1:15" x14ac:dyDescent="0.25">
      <c r="A65" t="s">
        <v>92</v>
      </c>
      <c r="B65" t="s">
        <v>88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51</v>
      </c>
      <c r="O65">
        <v>5</v>
      </c>
    </row>
    <row r="66" spans="1:15" x14ac:dyDescent="0.25">
      <c r="A66" t="s">
        <v>93</v>
      </c>
      <c r="B66" t="s">
        <v>55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51</v>
      </c>
      <c r="O66">
        <v>5</v>
      </c>
    </row>
    <row r="67" spans="1:15" x14ac:dyDescent="0.25">
      <c r="A67" t="s">
        <v>94</v>
      </c>
      <c r="B67" t="s">
        <v>55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7</v>
      </c>
      <c r="J67">
        <v>2436.77</v>
      </c>
      <c r="K67">
        <v>0</v>
      </c>
      <c r="L67">
        <v>0</v>
      </c>
      <c r="M67">
        <v>2436.77</v>
      </c>
      <c r="N67" t="s">
        <v>51</v>
      </c>
      <c r="O67">
        <v>5</v>
      </c>
    </row>
    <row r="68" spans="1:15" x14ac:dyDescent="0.25">
      <c r="A68" t="s">
        <v>95</v>
      </c>
      <c r="B68" t="s">
        <v>63</v>
      </c>
      <c r="C68">
        <v>78</v>
      </c>
      <c r="D68">
        <v>0</v>
      </c>
      <c r="E68">
        <v>0</v>
      </c>
      <c r="F68">
        <v>77</v>
      </c>
      <c r="G68">
        <v>0</v>
      </c>
      <c r="H68">
        <v>0</v>
      </c>
      <c r="I68">
        <v>1</v>
      </c>
      <c r="J68">
        <v>5900.7</v>
      </c>
      <c r="K68">
        <v>0</v>
      </c>
      <c r="L68">
        <v>6571.18</v>
      </c>
      <c r="M68">
        <v>75.650000000000006</v>
      </c>
      <c r="N68" t="s">
        <v>5</v>
      </c>
      <c r="O68">
        <v>5</v>
      </c>
    </row>
    <row r="69" spans="1:15" x14ac:dyDescent="0.25">
      <c r="A69" t="s">
        <v>96</v>
      </c>
      <c r="B69" t="s">
        <v>23</v>
      </c>
      <c r="C69">
        <v>42</v>
      </c>
      <c r="D69">
        <v>0</v>
      </c>
      <c r="E69">
        <v>0</v>
      </c>
      <c r="F69">
        <v>5</v>
      </c>
      <c r="G69">
        <v>0</v>
      </c>
      <c r="H69">
        <v>0</v>
      </c>
      <c r="I69">
        <v>37</v>
      </c>
      <c r="J69">
        <v>8553.7199999999993</v>
      </c>
      <c r="K69">
        <v>0</v>
      </c>
      <c r="L69">
        <v>1142.9000000000001</v>
      </c>
      <c r="M69">
        <v>7535.42</v>
      </c>
      <c r="N69" t="s">
        <v>29</v>
      </c>
      <c r="O69">
        <v>5</v>
      </c>
    </row>
    <row r="70" spans="1:15" x14ac:dyDescent="0.25">
      <c r="A70" t="s">
        <v>97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29</v>
      </c>
      <c r="O70">
        <v>5</v>
      </c>
    </row>
    <row r="71" spans="1:15" x14ac:dyDescent="0.25">
      <c r="A71" t="s">
        <v>98</v>
      </c>
      <c r="B71" t="s">
        <v>46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29</v>
      </c>
      <c r="O71">
        <v>5</v>
      </c>
    </row>
    <row r="72" spans="1:15" x14ac:dyDescent="0.25">
      <c r="A72" t="s">
        <v>99</v>
      </c>
      <c r="B72" t="s">
        <v>23</v>
      </c>
      <c r="C72">
        <v>22</v>
      </c>
      <c r="D72">
        <v>0</v>
      </c>
      <c r="E72">
        <v>0</v>
      </c>
      <c r="F72">
        <v>0</v>
      </c>
      <c r="G72">
        <v>0</v>
      </c>
      <c r="H72">
        <v>0</v>
      </c>
      <c r="I72">
        <v>22</v>
      </c>
      <c r="J72">
        <v>3881.24</v>
      </c>
      <c r="K72">
        <v>0</v>
      </c>
      <c r="L72">
        <v>0</v>
      </c>
      <c r="M72">
        <v>3881.24</v>
      </c>
      <c r="N72" t="s">
        <v>29</v>
      </c>
      <c r="O72">
        <v>5</v>
      </c>
    </row>
    <row r="73" spans="1:15" x14ac:dyDescent="0.25">
      <c r="A73" t="s">
        <v>100</v>
      </c>
      <c r="B73" t="s">
        <v>23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124.93</v>
      </c>
      <c r="K73">
        <v>0</v>
      </c>
      <c r="L73">
        <v>0</v>
      </c>
      <c r="M73">
        <v>124.93</v>
      </c>
      <c r="N73" t="s">
        <v>5</v>
      </c>
      <c r="O73">
        <v>5</v>
      </c>
    </row>
    <row r="74" spans="1:15" x14ac:dyDescent="0.25">
      <c r="A74" t="s">
        <v>101</v>
      </c>
      <c r="B74" t="s">
        <v>102</v>
      </c>
      <c r="C74">
        <v>38</v>
      </c>
      <c r="D74">
        <v>0</v>
      </c>
      <c r="E74">
        <v>0</v>
      </c>
      <c r="F74">
        <v>0</v>
      </c>
      <c r="G74">
        <v>0</v>
      </c>
      <c r="H74">
        <v>0</v>
      </c>
      <c r="I74">
        <v>38</v>
      </c>
      <c r="J74">
        <v>3473.96</v>
      </c>
      <c r="K74">
        <v>0</v>
      </c>
      <c r="L74">
        <v>0</v>
      </c>
      <c r="M74">
        <v>3473.96</v>
      </c>
      <c r="N74" t="s">
        <v>5</v>
      </c>
      <c r="O74">
        <v>5</v>
      </c>
    </row>
    <row r="75" spans="1:15" x14ac:dyDescent="0.25">
      <c r="A75" t="s">
        <v>103</v>
      </c>
      <c r="B75" t="s">
        <v>104</v>
      </c>
      <c r="C75">
        <v>71</v>
      </c>
      <c r="D75">
        <v>0</v>
      </c>
      <c r="E75">
        <v>0</v>
      </c>
      <c r="F75">
        <v>43</v>
      </c>
      <c r="G75">
        <v>24</v>
      </c>
      <c r="H75">
        <v>0</v>
      </c>
      <c r="I75">
        <v>4</v>
      </c>
      <c r="J75">
        <v>6294.15</v>
      </c>
      <c r="K75">
        <v>0</v>
      </c>
      <c r="L75">
        <v>4586.38</v>
      </c>
      <c r="M75">
        <v>354.6</v>
      </c>
      <c r="N75" t="s">
        <v>5</v>
      </c>
      <c r="O75">
        <v>5</v>
      </c>
    </row>
    <row r="76" spans="1:15" x14ac:dyDescent="0.25">
      <c r="A76" t="s">
        <v>105</v>
      </c>
      <c r="B76" t="s">
        <v>64</v>
      </c>
      <c r="C76">
        <v>31</v>
      </c>
      <c r="D76">
        <v>0</v>
      </c>
      <c r="E76">
        <v>0</v>
      </c>
      <c r="F76">
        <v>0</v>
      </c>
      <c r="G76">
        <v>0</v>
      </c>
      <c r="H76">
        <v>0</v>
      </c>
      <c r="I76">
        <v>31</v>
      </c>
      <c r="J76">
        <v>2430.71</v>
      </c>
      <c r="K76">
        <v>0</v>
      </c>
      <c r="L76">
        <v>0</v>
      </c>
      <c r="M76">
        <v>2430.71</v>
      </c>
      <c r="N76" t="s">
        <v>5</v>
      </c>
      <c r="O76">
        <v>5</v>
      </c>
    </row>
    <row r="77" spans="1:15" x14ac:dyDescent="0.25">
      <c r="A77" t="s">
        <v>106</v>
      </c>
      <c r="B77" t="s">
        <v>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5</v>
      </c>
      <c r="O77">
        <v>5</v>
      </c>
    </row>
    <row r="78" spans="1:15" x14ac:dyDescent="0.25">
      <c r="A78" t="s">
        <v>107</v>
      </c>
      <c r="B78" t="s">
        <v>64</v>
      </c>
      <c r="C78">
        <v>9</v>
      </c>
      <c r="D78">
        <v>0</v>
      </c>
      <c r="E78">
        <v>0</v>
      </c>
      <c r="F78">
        <v>0</v>
      </c>
      <c r="G78">
        <v>0</v>
      </c>
      <c r="H78">
        <v>0</v>
      </c>
      <c r="I78">
        <v>9</v>
      </c>
      <c r="J78">
        <v>1069.29</v>
      </c>
      <c r="K78">
        <v>0</v>
      </c>
      <c r="L78">
        <v>0</v>
      </c>
      <c r="M78">
        <v>1069.29</v>
      </c>
      <c r="N78" t="s">
        <v>5</v>
      </c>
      <c r="O78">
        <v>5</v>
      </c>
    </row>
    <row r="79" spans="1:15" x14ac:dyDescent="0.25">
      <c r="A79" t="s">
        <v>108</v>
      </c>
      <c r="B79" t="s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29</v>
      </c>
      <c r="O79">
        <v>5</v>
      </c>
    </row>
    <row r="80" spans="1:15" x14ac:dyDescent="0.25">
      <c r="A80" t="s">
        <v>109</v>
      </c>
      <c r="B80" t="s">
        <v>110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5</v>
      </c>
      <c r="O80">
        <v>5</v>
      </c>
    </row>
    <row r="81" spans="1:15" x14ac:dyDescent="0.25">
      <c r="A81" t="s">
        <v>111</v>
      </c>
      <c r="B81" t="s">
        <v>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5</v>
      </c>
      <c r="O81">
        <v>5</v>
      </c>
    </row>
    <row r="82" spans="1:15" x14ac:dyDescent="0.25">
      <c r="A82" t="s">
        <v>112</v>
      </c>
      <c r="B82" t="s">
        <v>19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21</v>
      </c>
      <c r="O82">
        <v>18</v>
      </c>
    </row>
    <row r="83" spans="1:15" x14ac:dyDescent="0.25">
      <c r="A83" t="s">
        <v>113</v>
      </c>
      <c r="B83" t="s">
        <v>114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21</v>
      </c>
      <c r="O83">
        <v>18</v>
      </c>
    </row>
    <row r="84" spans="1:15" x14ac:dyDescent="0.25">
      <c r="A84" t="s">
        <v>115</v>
      </c>
      <c r="B84" t="s">
        <v>9</v>
      </c>
      <c r="C84">
        <v>42</v>
      </c>
      <c r="D84">
        <v>0</v>
      </c>
      <c r="E84">
        <v>0</v>
      </c>
      <c r="F84">
        <v>5</v>
      </c>
      <c r="G84">
        <v>0</v>
      </c>
      <c r="H84">
        <v>0</v>
      </c>
      <c r="I84">
        <v>37</v>
      </c>
      <c r="J84">
        <v>9266.4599999999991</v>
      </c>
      <c r="K84">
        <v>0</v>
      </c>
      <c r="L84">
        <v>1238.0999999999999</v>
      </c>
      <c r="M84">
        <v>8163.31</v>
      </c>
      <c r="N84" t="s">
        <v>5</v>
      </c>
      <c r="O84">
        <v>5</v>
      </c>
    </row>
    <row r="85" spans="1:15" x14ac:dyDescent="0.25">
      <c r="A85" t="s">
        <v>116</v>
      </c>
      <c r="B85" t="s">
        <v>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29</v>
      </c>
      <c r="O85">
        <v>5</v>
      </c>
    </row>
    <row r="86" spans="1:15" x14ac:dyDescent="0.25">
      <c r="A86" t="s">
        <v>25</v>
      </c>
      <c r="B86" t="s">
        <v>25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25</v>
      </c>
      <c r="O86">
        <v>0</v>
      </c>
    </row>
    <row r="87" spans="1:15" x14ac:dyDescent="0.25">
      <c r="A87" t="s">
        <v>25</v>
      </c>
      <c r="B87" t="s">
        <v>25</v>
      </c>
      <c r="C87">
        <v>1720</v>
      </c>
      <c r="D87">
        <v>1044</v>
      </c>
      <c r="E87">
        <v>8</v>
      </c>
      <c r="F87">
        <v>850</v>
      </c>
      <c r="G87">
        <v>83779</v>
      </c>
      <c r="H87">
        <v>20</v>
      </c>
      <c r="I87">
        <v>1310</v>
      </c>
      <c r="J87">
        <v>221663.38</v>
      </c>
      <c r="K87">
        <v>122311.46</v>
      </c>
      <c r="L87">
        <v>114050.83</v>
      </c>
      <c r="M87">
        <v>169250.73</v>
      </c>
      <c r="N87" t="s">
        <v>25</v>
      </c>
      <c r="O87">
        <v>0</v>
      </c>
    </row>
    <row r="88" spans="1:15" x14ac:dyDescent="0.25">
      <c r="A88" t="s">
        <v>25</v>
      </c>
      <c r="B88" t="s">
        <v>25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25</v>
      </c>
      <c r="O88">
        <v>0</v>
      </c>
    </row>
    <row r="89" spans="1:15" x14ac:dyDescent="0.25">
      <c r="A89" t="s">
        <v>117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25</v>
      </c>
      <c r="O89">
        <v>0</v>
      </c>
    </row>
    <row r="90" spans="1:15" x14ac:dyDescent="0.25">
      <c r="A90" t="s">
        <v>118</v>
      </c>
      <c r="B90" t="s">
        <v>25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25</v>
      </c>
      <c r="O90">
        <v>0</v>
      </c>
    </row>
    <row r="91" spans="1:15" x14ac:dyDescent="0.25">
      <c r="A91" t="s">
        <v>119</v>
      </c>
      <c r="B91" t="s">
        <v>25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</v>
      </c>
    </row>
    <row r="92" spans="1:15" x14ac:dyDescent="0.25">
      <c r="A92" t="s">
        <v>120</v>
      </c>
      <c r="B92" t="s">
        <v>25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</v>
      </c>
    </row>
    <row r="93" spans="1:15" x14ac:dyDescent="0.25">
      <c r="A93" t="s">
        <v>121</v>
      </c>
      <c r="B93" t="s">
        <v>25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25</v>
      </c>
      <c r="O93">
        <v>0</v>
      </c>
    </row>
    <row r="94" spans="1:15" x14ac:dyDescent="0.25">
      <c r="A94" t="s">
        <v>122</v>
      </c>
      <c r="B94" t="s">
        <v>25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</v>
      </c>
    </row>
    <row r="95" spans="1:15" x14ac:dyDescent="0.25">
      <c r="A95" t="s">
        <v>123</v>
      </c>
      <c r="B95" t="s">
        <v>25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</v>
      </c>
    </row>
    <row r="96" spans="1:15" x14ac:dyDescent="0.25">
      <c r="A96" t="s">
        <v>124</v>
      </c>
      <c r="B96" t="s">
        <v>25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</v>
      </c>
    </row>
    <row r="97" spans="1:15" x14ac:dyDescent="0.25">
      <c r="A97" t="s">
        <v>25</v>
      </c>
      <c r="B97" t="s">
        <v>25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25</v>
      </c>
      <c r="O97">
        <v>0</v>
      </c>
    </row>
  </sheetData>
  <mergeCells count="6">
    <mergeCell ref="A1:O1"/>
    <mergeCell ref="A2:O2"/>
    <mergeCell ref="A3:O3"/>
    <mergeCell ref="A4:O4"/>
    <mergeCell ref="A5:O5"/>
    <mergeCell ref="A6:O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HIMALAYA ZEAL-SUNIL_SEP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2026-10-02T12:55:14Z</dcterms:created>
  <dcterms:modified xsi:type="dcterms:W3CDTF">2026-10-02T12:55:14Z</dcterms:modified>
</cp:coreProperties>
</file>