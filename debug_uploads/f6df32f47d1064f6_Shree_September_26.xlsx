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E:\DAVAEXCL\"/>
    </mc:Choice>
  </mc:AlternateContent>
  <xr:revisionPtr revIDLastSave="0" documentId="8_{90BB324C-00C9-A143-9354-5F6379D85C6C}" xr6:coauthVersionLast="47" xr6:coauthVersionMax="47" xr10:uidLastSave="{00000000-0000-0000-0000-000000000000}"/>
  <bookViews>
    <workbookView xWindow="0" yWindow="0" windowWidth="14370" windowHeight="9645" xr2:uid="{00000000-000D-0000-FFFF-FFFF00000000}"/>
  </bookViews>
  <sheets>
    <sheet name="HIMALAYA ZANDRA_SE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<sst xmlns="http://schemas.openxmlformats.org/spreadsheetml/2006/main" count="303" uniqueCount="136">
  <si>
    <t>ARJUNA TABLET</t>
  </si>
  <si>
    <t>60tab</t>
  </si>
  <si>
    <t>30049011</t>
  </si>
  <si>
    <t>BONNISAN DROPS</t>
  </si>
  <si>
    <t>30ML</t>
  </si>
  <si>
    <t>BONNISAN LIQ(100ML)</t>
  </si>
  <si>
    <t>100ML</t>
  </si>
  <si>
    <t>BONNISAN LIQ(200ML)</t>
  </si>
  <si>
    <t>200</t>
  </si>
  <si>
    <t>BONNISPAZ DROP</t>
  </si>
  <si>
    <t>15</t>
  </si>
  <si>
    <t>BRESOL NS SALINE</t>
  </si>
  <si>
    <t>10</t>
  </si>
  <si>
    <t>30049099</t>
  </si>
  <si>
    <t>BRESOL SYRUP</t>
  </si>
  <si>
    <t>100</t>
  </si>
  <si>
    <t>BRESOL TAB</t>
  </si>
  <si>
    <t>60</t>
  </si>
  <si>
    <t>CYSTONE FORTE TAB</t>
  </si>
  <si>
    <t>30</t>
  </si>
  <si>
    <t>CYSTONE SF LIQ</t>
  </si>
  <si>
    <t>CYSTONE SYP200</t>
  </si>
  <si>
    <t>CYSTONE SYRUP</t>
  </si>
  <si>
    <t>CYSTONE TAB</t>
  </si>
  <si>
    <t>60TAB</t>
  </si>
  <si>
    <t>EVE CARE SYP-400</t>
  </si>
  <si>
    <t>400</t>
  </si>
  <si>
    <t>EVE-CARE</t>
  </si>
  <si>
    <t>30TAB</t>
  </si>
  <si>
    <t>EVE-CARE SYRUP</t>
  </si>
  <si>
    <t>200ML</t>
  </si>
  <si>
    <t>EVECARE FORTE LIQ</t>
  </si>
  <si>
    <t>EVECARE FORTE TAB</t>
  </si>
  <si>
    <t>FLORASANTE CAP</t>
  </si>
  <si>
    <t>20</t>
  </si>
  <si>
    <t>21069099</t>
  </si>
  <si>
    <t>FLORASANTE CAP 10'S</t>
  </si>
  <si>
    <t>10caps</t>
  </si>
  <si>
    <t>GALACTOSURE GRANULES</t>
  </si>
  <si>
    <t>200GM</t>
  </si>
  <si>
    <t>GERIFORTE SYRUP</t>
  </si>
  <si>
    <t>GERIFORTE TAB</t>
  </si>
  <si>
    <t>HARIDRA TABLET</t>
  </si>
  <si>
    <t>HIMCOSPAZ CAP</t>
  </si>
  <si>
    <t>HIMPLASIYA TAB</t>
  </si>
  <si>
    <t>HIORA DIABETICS PASTE</t>
  </si>
  <si>
    <t>100GM</t>
  </si>
  <si>
    <t>33061010</t>
  </si>
  <si>
    <t>HIORA GA GEL</t>
  </si>
  <si>
    <t>HIORA K MOUTHWASH</t>
  </si>
  <si>
    <t>150</t>
  </si>
  <si>
    <t>33069000</t>
  </si>
  <si>
    <t>HIORA K TOOTHPASTE</t>
  </si>
  <si>
    <t>50</t>
  </si>
  <si>
    <t>33061020</t>
  </si>
  <si>
    <t>HIORA K TOOTHPASTE 100GM</t>
  </si>
  <si>
    <t>HIORA MOUTHWASH</t>
  </si>
  <si>
    <t>HIORA PAIN GEL</t>
  </si>
  <si>
    <t>HIORA SG GEL</t>
  </si>
  <si>
    <t>HIORA TOOTHPASTE</t>
  </si>
  <si>
    <t>100gm</t>
  </si>
  <si>
    <t>HIOWNA-JR POWD(CHO)</t>
  </si>
  <si>
    <t>HIOWNA-JR POWD(VAN)</t>
  </si>
  <si>
    <t>HIOWNA-JR POWDER(400)</t>
  </si>
  <si>
    <t>HIRO GA GEL</t>
  </si>
  <si>
    <t>HIRO SG GEL</t>
  </si>
  <si>
    <t>HIROA K MOUTHWASH</t>
  </si>
  <si>
    <t>HIROA R MOUTHWASH</t>
  </si>
  <si>
    <t>IMMUSANTE TAB</t>
  </si>
  <si>
    <t>KARELA TABLET</t>
  </si>
  <si>
    <t>KOFLET-H LONZ(GIN)</t>
  </si>
  <si>
    <t>6</t>
  </si>
  <si>
    <t>LASUNA TABLET</t>
  </si>
  <si>
    <t>LIV 52 DROP</t>
  </si>
  <si>
    <t>60ML</t>
  </si>
  <si>
    <t>120ML</t>
  </si>
  <si>
    <t>LIV 52 DS SYP</t>
  </si>
  <si>
    <t>LIV 52 DS SYR(SF)</t>
  </si>
  <si>
    <t>LIV 52 DS TAB</t>
  </si>
  <si>
    <t>LUKOL SYP</t>
  </si>
  <si>
    <t>LUKOL TAB</t>
  </si>
  <si>
    <t>50TAB</t>
  </si>
  <si>
    <t>MENOSAN TAB</t>
  </si>
  <si>
    <t>MENTAT DS SYRUP</t>
  </si>
  <si>
    <t>MENTAT GUMMIES</t>
  </si>
  <si>
    <t>30"s</t>
  </si>
  <si>
    <t>MENTAT SYRUP</t>
  </si>
  <si>
    <t>MENTAT TAB</t>
  </si>
  <si>
    <t>MESHASHRINGI TABLET</t>
  </si>
  <si>
    <t>METHI TABLET</t>
  </si>
  <si>
    <t>PILEX OINT</t>
  </si>
  <si>
    <t>28GM</t>
  </si>
  <si>
    <t>PLATENZA SYR</t>
  </si>
  <si>
    <t>PLATENZA TABLETS</t>
  </si>
  <si>
    <t>PUNARNAVA TABLET</t>
  </si>
  <si>
    <t>PURE HAND 85ML</t>
  </si>
  <si>
    <t>85</t>
  </si>
  <si>
    <t>34011110</t>
  </si>
  <si>
    <t>PURE HAND(LEM)</t>
  </si>
  <si>
    <t>PURE HAND(ORA)TUBE</t>
  </si>
  <si>
    <t>PURE HANDS ADVANCED 2X500ML IN</t>
  </si>
  <si>
    <t>500</t>
  </si>
  <si>
    <t>PUREHANDS 500(LITCHI)</t>
  </si>
  <si>
    <t>QUISTA KIDS VANILLA</t>
  </si>
  <si>
    <t>QUISTA KIDZ CHO</t>
  </si>
  <si>
    <t>RENALK SYP-200ML</t>
  </si>
  <si>
    <t>RENOSANTE CAP</t>
  </si>
  <si>
    <t>60CAP</t>
  </si>
  <si>
    <t>REOSTO</t>
  </si>
  <si>
    <t>30 TAB</t>
  </si>
  <si>
    <t>SEPTILIN DROP</t>
  </si>
  <si>
    <t>SEPTILIN GUMMIES</t>
  </si>
  <si>
    <t>30"S</t>
  </si>
  <si>
    <t>SEPTILIN SYRUP</t>
  </si>
  <si>
    <t>SEPTILIN TAB</t>
  </si>
  <si>
    <t>SHATAVARI SYRUP</t>
  </si>
  <si>
    <t>SHATAVARI TABLETS</t>
  </si>
  <si>
    <t>SPEMAN TAB</t>
  </si>
  <si>
    <t>STYPLON TAB</t>
  </si>
  <si>
    <t>SUDDHA GUGGULU TAB</t>
  </si>
  <si>
    <t>V-GEL OINT</t>
  </si>
  <si>
    <t/>
  </si>
  <si>
    <t>OPENING :  310313.40</t>
  </si>
  <si>
    <t>PURCHASE :   46387.36</t>
  </si>
  <si>
    <t>SALES :   95727.53</t>
  </si>
  <si>
    <t>UC SALE :   47334.58</t>
  </si>
  <si>
    <t>CL.STK.:  239066.05</t>
  </si>
  <si>
    <t>Opening On SaleRate:  397966.3</t>
  </si>
  <si>
    <t>Purchase On SaleRate:   52325.</t>
  </si>
  <si>
    <t>Closing On SaleRate:  311804.9</t>
  </si>
  <si>
    <t xml:space="preserve">SHREE DISTRIBUTORS                      </t>
  </si>
  <si>
    <t>SHOP NO.14, BASEMENT,SHAKTI PLAZA        From : 01/09/26</t>
  </si>
  <si>
    <t>STOCK &amp; SALE STATEMENT</t>
  </si>
  <si>
    <t>Company Name : HIMALAYA ZANDRA</t>
  </si>
  <si>
    <t>RAM GALLI,BARAMATI,PUNE-413102           To : 30/09/26</t>
  </si>
  <si>
    <t>MOB:9860141716,9284259096               Report Date : 30-Sep-2026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</si>
</sst>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topLeftCell="D1" workbookViewId="0">
      <pane ySplit="7" topLeftCell="D9" activePane="bottomLeft" state="frozen"/>
      <selection activeCell="D1" sqref="D1"/>
      <selection pane="bottomLeft" activeCell="A4" sqref="A4:O4"/>
    </sheetView>
  </sheetViews>
  <sheetFormatPr defaultRowHeight="15" x14ac:dyDescent="0.2"/>
  <cols>
    <col min="1" max="1" width="34.16796875" bestFit="1" customWidth="1"/>
    <col min="2" max="2" width="6.9921875" bestFit="1" customWidth="1"/>
    <col min="3" max="3" width="9.68359375" bestFit="1" customWidth="1"/>
    <col min="4" max="4" width="8.47265625" bestFit="1" customWidth="1"/>
    <col min="5" max="5" width="7.93359375" bestFit="1" customWidth="1"/>
    <col min="6" max="6" width="8.875" bestFit="1" customWidth="1"/>
    <col min="7" max="7" width="7.26171875" bestFit="1" customWidth="1"/>
    <col min="8" max="8" width="7.12890625" bestFit="1" customWidth="1"/>
    <col min="9" max="9" width="10.0859375" bestFit="1" customWidth="1"/>
    <col min="10" max="10" width="9.953125" bestFit="1" customWidth="1"/>
    <col min="11" max="11" width="9.01171875" bestFit="1" customWidth="1"/>
    <col min="12" max="12" width="9.14453125" bestFit="1" customWidth="1"/>
    <col min="13" max="13" width="9.953125" bestFit="1" customWidth="1"/>
    <col min="14" max="14" width="10.0859375" bestFit="1" customWidth="1"/>
    <col min="15" max="15" width="8.33984375" bestFit="1" customWidth="1"/>
  </cols>
  <sheetData>
    <row r="1" spans="1:15" x14ac:dyDescent="0.2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A2" s="3" t="s">
        <v>131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 s="3" t="s">
        <v>134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A4" s="3" t="s">
        <v>135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2" t="s">
        <v>132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 t="s">
        <v>133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UPPER("crestk")</f>
        <v>CRESTK</v>
      </c>
      <c r="F7" s="1" t="str">
        <f>UPPER("salestk")</f>
        <v>SALESTK</v>
      </c>
      <c r="G7" s="1" t="str">
        <f>UPPER("ucstk")</f>
        <v>UCSTK</v>
      </c>
      <c r="H7" s="1" t="str">
        <f>UPPER("dbstk")</f>
        <v>DBSTK</v>
      </c>
      <c r="I7" s="1" t="str">
        <f>UPPER("closestk")</f>
        <v>CLOSESTK</v>
      </c>
      <c r="J7" s="1" t="str">
        <f>UPPER("openval")</f>
        <v>OPENVAL</v>
      </c>
      <c r="K7" s="1" t="str">
        <f>UPPER("purval")</f>
        <v>PURVAL</v>
      </c>
      <c r="L7" s="1" t="str">
        <f>UPPER("saleval")</f>
        <v>SALEVAL</v>
      </c>
      <c r="M7" s="1" t="str">
        <f>UPPER("clsval")</f>
        <v>CLSVAL</v>
      </c>
      <c r="N7" s="1" t="str">
        <f>UPPER("hsncode")</f>
        <v>HSNCODE</v>
      </c>
      <c r="O7" s="1" t="str">
        <f>UPPER("taxper")</f>
        <v>TAXPER</v>
      </c>
    </row>
    <row r="8" spans="1:15" x14ac:dyDescent="0.2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</v>
      </c>
      <c r="O8">
        <v>5</v>
      </c>
    </row>
    <row r="9" spans="1:15" x14ac:dyDescent="0.2">
      <c r="A9" t="s">
        <v>3</v>
      </c>
      <c r="B9" t="s">
        <v>4</v>
      </c>
      <c r="C9">
        <v>0</v>
      </c>
      <c r="D9">
        <v>100</v>
      </c>
      <c r="E9">
        <v>0</v>
      </c>
      <c r="F9">
        <v>70</v>
      </c>
      <c r="G9">
        <v>0</v>
      </c>
      <c r="H9">
        <v>0</v>
      </c>
      <c r="I9">
        <v>30</v>
      </c>
      <c r="J9">
        <v>0</v>
      </c>
      <c r="K9">
        <v>6619</v>
      </c>
      <c r="L9">
        <v>5226.2</v>
      </c>
      <c r="M9">
        <v>1985.7</v>
      </c>
      <c r="N9" t="s">
        <v>2</v>
      </c>
      <c r="O9">
        <v>5</v>
      </c>
    </row>
    <row r="10" spans="1:15" x14ac:dyDescent="0.2">
      <c r="A10" t="s">
        <v>5</v>
      </c>
      <c r="B10" t="s">
        <v>6</v>
      </c>
      <c r="C10">
        <v>56</v>
      </c>
      <c r="D10">
        <v>0</v>
      </c>
      <c r="E10">
        <v>0</v>
      </c>
      <c r="F10">
        <v>0</v>
      </c>
      <c r="G10">
        <v>56</v>
      </c>
      <c r="H10">
        <v>0</v>
      </c>
      <c r="I10">
        <v>0</v>
      </c>
      <c r="J10">
        <v>3365.6</v>
      </c>
      <c r="K10">
        <v>0</v>
      </c>
      <c r="L10">
        <v>0</v>
      </c>
      <c r="M10">
        <v>0</v>
      </c>
      <c r="N10" t="s">
        <v>2</v>
      </c>
      <c r="O10">
        <v>5</v>
      </c>
    </row>
    <row r="11" spans="1:15" x14ac:dyDescent="0.2">
      <c r="A11" t="s">
        <v>7</v>
      </c>
      <c r="B11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</v>
      </c>
      <c r="O11">
        <v>5</v>
      </c>
    </row>
    <row r="12" spans="1:15" x14ac:dyDescent="0.2">
      <c r="A12" t="s">
        <v>9</v>
      </c>
      <c r="B12" t="s">
        <v>10</v>
      </c>
      <c r="C12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32</v>
      </c>
      <c r="J12">
        <v>1722.56</v>
      </c>
      <c r="K12">
        <v>0</v>
      </c>
      <c r="L12">
        <v>0</v>
      </c>
      <c r="M12">
        <v>1722.56</v>
      </c>
      <c r="N12" t="s">
        <v>2</v>
      </c>
      <c r="O12">
        <v>5</v>
      </c>
    </row>
    <row r="13" spans="1:15" x14ac:dyDescent="0.2">
      <c r="A13" t="s">
        <v>11</v>
      </c>
      <c r="B13" t="s">
        <v>12</v>
      </c>
      <c r="C13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30</v>
      </c>
      <c r="J13">
        <v>1519.5</v>
      </c>
      <c r="K13">
        <v>0</v>
      </c>
      <c r="L13">
        <v>0</v>
      </c>
      <c r="M13">
        <v>1519.5</v>
      </c>
      <c r="N13" t="s">
        <v>13</v>
      </c>
      <c r="O13">
        <v>5</v>
      </c>
    </row>
    <row r="14" spans="1:15" x14ac:dyDescent="0.2">
      <c r="A14" t="s">
        <v>14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</v>
      </c>
      <c r="O14">
        <v>5</v>
      </c>
    </row>
    <row r="15" spans="1:15" x14ac:dyDescent="0.2">
      <c r="A15" t="s">
        <v>14</v>
      </c>
      <c r="B15" t="s">
        <v>8</v>
      </c>
      <c r="C15">
        <v>52</v>
      </c>
      <c r="D15">
        <v>0</v>
      </c>
      <c r="E15">
        <v>0</v>
      </c>
      <c r="F15">
        <v>41</v>
      </c>
      <c r="G15">
        <v>10</v>
      </c>
      <c r="H15">
        <v>0</v>
      </c>
      <c r="I15">
        <v>1</v>
      </c>
      <c r="J15">
        <v>7550.92</v>
      </c>
      <c r="K15">
        <v>0</v>
      </c>
      <c r="L15">
        <v>6715.8</v>
      </c>
      <c r="M15">
        <v>145.21</v>
      </c>
      <c r="N15" t="s">
        <v>2</v>
      </c>
      <c r="O15">
        <v>5</v>
      </c>
    </row>
    <row r="16" spans="1:15" x14ac:dyDescent="0.2">
      <c r="A16" t="s">
        <v>16</v>
      </c>
      <c r="B16" t="s">
        <v>17</v>
      </c>
      <c r="C16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32</v>
      </c>
      <c r="J16">
        <v>4290.24</v>
      </c>
      <c r="K16">
        <v>0</v>
      </c>
      <c r="L16">
        <v>0</v>
      </c>
      <c r="M16">
        <v>4290.24</v>
      </c>
      <c r="N16" t="s">
        <v>2</v>
      </c>
      <c r="O16">
        <v>5</v>
      </c>
    </row>
    <row r="17" spans="1:15" x14ac:dyDescent="0.2">
      <c r="A17" t="s">
        <v>18</v>
      </c>
      <c r="B17" t="s">
        <v>19</v>
      </c>
      <c r="C17">
        <v>30</v>
      </c>
      <c r="D17">
        <v>0</v>
      </c>
      <c r="E17">
        <v>0</v>
      </c>
      <c r="F17">
        <v>5</v>
      </c>
      <c r="G17">
        <v>12</v>
      </c>
      <c r="H17">
        <v>0</v>
      </c>
      <c r="I17">
        <v>13</v>
      </c>
      <c r="J17">
        <v>3229.2</v>
      </c>
      <c r="K17">
        <v>0</v>
      </c>
      <c r="L17">
        <v>605.70000000000005</v>
      </c>
      <c r="M17">
        <v>1399.32</v>
      </c>
      <c r="N17" t="s">
        <v>13</v>
      </c>
      <c r="O17">
        <v>5</v>
      </c>
    </row>
    <row r="18" spans="1:15" x14ac:dyDescent="0.2">
      <c r="A18" t="s">
        <v>20</v>
      </c>
      <c r="B18" t="s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13</v>
      </c>
      <c r="O18">
        <v>5</v>
      </c>
    </row>
    <row r="19" spans="1:15" x14ac:dyDescent="0.2">
      <c r="A19" t="s">
        <v>21</v>
      </c>
      <c r="B19" t="s">
        <v>8</v>
      </c>
      <c r="C19">
        <v>12</v>
      </c>
      <c r="D19">
        <v>28</v>
      </c>
      <c r="E19">
        <v>0</v>
      </c>
      <c r="F19">
        <v>32</v>
      </c>
      <c r="G19">
        <v>0</v>
      </c>
      <c r="H19">
        <v>0</v>
      </c>
      <c r="I19">
        <v>8</v>
      </c>
      <c r="J19">
        <v>2196.48</v>
      </c>
      <c r="K19">
        <v>5125.12</v>
      </c>
      <c r="L19">
        <v>6361.25</v>
      </c>
      <c r="M19">
        <v>1464.32</v>
      </c>
      <c r="N19" t="s">
        <v>2</v>
      </c>
      <c r="O19">
        <v>5</v>
      </c>
    </row>
    <row r="20" spans="1:15" x14ac:dyDescent="0.2">
      <c r="A20" t="s">
        <v>22</v>
      </c>
      <c r="B20" t="s">
        <v>15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60.94</v>
      </c>
      <c r="K20">
        <v>0</v>
      </c>
      <c r="L20">
        <v>0</v>
      </c>
      <c r="M20">
        <v>60.94</v>
      </c>
      <c r="N20" t="s">
        <v>2</v>
      </c>
      <c r="O20">
        <v>5</v>
      </c>
    </row>
    <row r="21" spans="1:15" x14ac:dyDescent="0.2">
      <c r="A21" t="s">
        <v>23</v>
      </c>
      <c r="B21" t="s">
        <v>24</v>
      </c>
      <c r="C21">
        <v>2</v>
      </c>
      <c r="D21">
        <v>100</v>
      </c>
      <c r="E21">
        <v>0</v>
      </c>
      <c r="F21">
        <v>50</v>
      </c>
      <c r="G21">
        <v>50</v>
      </c>
      <c r="H21">
        <v>2</v>
      </c>
      <c r="I21">
        <v>0</v>
      </c>
      <c r="J21">
        <v>328.26</v>
      </c>
      <c r="K21">
        <v>16413</v>
      </c>
      <c r="L21">
        <v>9257</v>
      </c>
      <c r="M21">
        <v>0</v>
      </c>
      <c r="N21" t="s">
        <v>2</v>
      </c>
      <c r="O21">
        <v>5</v>
      </c>
    </row>
    <row r="22" spans="1:15" x14ac:dyDescent="0.2">
      <c r="A22" t="s">
        <v>25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</v>
      </c>
      <c r="O22">
        <v>5</v>
      </c>
    </row>
    <row r="23" spans="1:15" x14ac:dyDescent="0.2">
      <c r="A23" t="s">
        <v>27</v>
      </c>
      <c r="B23" t="s">
        <v>28</v>
      </c>
      <c r="C23">
        <v>60</v>
      </c>
      <c r="D23">
        <v>0</v>
      </c>
      <c r="E23">
        <v>0</v>
      </c>
      <c r="F23">
        <v>21</v>
      </c>
      <c r="G23">
        <v>0</v>
      </c>
      <c r="H23">
        <v>0</v>
      </c>
      <c r="I23">
        <v>39</v>
      </c>
      <c r="J23">
        <v>9847.7999999999993</v>
      </c>
      <c r="K23">
        <v>0</v>
      </c>
      <c r="L23">
        <v>3887.94</v>
      </c>
      <c r="M23">
        <v>6401.07</v>
      </c>
      <c r="N23" t="s">
        <v>2</v>
      </c>
      <c r="O23">
        <v>5</v>
      </c>
    </row>
    <row r="24" spans="1:15" x14ac:dyDescent="0.2">
      <c r="A24" t="s">
        <v>29</v>
      </c>
      <c r="B24" t="s">
        <v>30</v>
      </c>
      <c r="C24">
        <v>191</v>
      </c>
      <c r="D24">
        <v>0</v>
      </c>
      <c r="E24">
        <v>0</v>
      </c>
      <c r="F24">
        <v>81</v>
      </c>
      <c r="G24">
        <v>0</v>
      </c>
      <c r="H24">
        <v>0</v>
      </c>
      <c r="I24">
        <v>110</v>
      </c>
      <c r="J24">
        <v>27735.11</v>
      </c>
      <c r="K24">
        <v>0</v>
      </c>
      <c r="L24">
        <v>13267.8</v>
      </c>
      <c r="M24">
        <v>15973.1</v>
      </c>
      <c r="N24" t="s">
        <v>2</v>
      </c>
      <c r="O24">
        <v>5</v>
      </c>
    </row>
    <row r="25" spans="1:15" x14ac:dyDescent="0.2">
      <c r="A25" t="s">
        <v>31</v>
      </c>
      <c r="B25" t="s">
        <v>8</v>
      </c>
      <c r="C25">
        <v>14</v>
      </c>
      <c r="D25">
        <v>56</v>
      </c>
      <c r="E25">
        <v>2</v>
      </c>
      <c r="F25">
        <v>38</v>
      </c>
      <c r="G25">
        <v>0</v>
      </c>
      <c r="H25">
        <v>0</v>
      </c>
      <c r="I25">
        <v>34</v>
      </c>
      <c r="J25">
        <v>2430.12</v>
      </c>
      <c r="K25">
        <v>9720.48</v>
      </c>
      <c r="L25">
        <v>7440.4</v>
      </c>
      <c r="M25">
        <v>5901.72</v>
      </c>
      <c r="N25" t="s">
        <v>2</v>
      </c>
      <c r="O25">
        <v>5</v>
      </c>
    </row>
    <row r="26" spans="1:15" x14ac:dyDescent="0.2">
      <c r="A26" t="s">
        <v>32</v>
      </c>
      <c r="B26" t="s">
        <v>12</v>
      </c>
      <c r="C26">
        <v>59</v>
      </c>
      <c r="D26">
        <v>0</v>
      </c>
      <c r="E26">
        <v>0</v>
      </c>
      <c r="F26">
        <v>0</v>
      </c>
      <c r="G26">
        <v>0</v>
      </c>
      <c r="H26">
        <v>0</v>
      </c>
      <c r="I26">
        <v>59</v>
      </c>
      <c r="J26">
        <v>3825.56</v>
      </c>
      <c r="K26">
        <v>0</v>
      </c>
      <c r="L26">
        <v>0</v>
      </c>
      <c r="M26">
        <v>3825.56</v>
      </c>
      <c r="N26" t="s">
        <v>2</v>
      </c>
      <c r="O26">
        <v>5</v>
      </c>
    </row>
    <row r="27" spans="1:15" x14ac:dyDescent="0.2">
      <c r="A27" t="s">
        <v>33</v>
      </c>
      <c r="B27" t="s">
        <v>34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35</v>
      </c>
      <c r="O27">
        <v>18</v>
      </c>
    </row>
    <row r="28" spans="1:15" x14ac:dyDescent="0.2">
      <c r="A28" t="s">
        <v>36</v>
      </c>
      <c r="B28" t="s">
        <v>37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359.32</v>
      </c>
      <c r="K28">
        <v>0</v>
      </c>
      <c r="L28">
        <v>0</v>
      </c>
      <c r="M28">
        <v>359.32</v>
      </c>
      <c r="N28" t="s">
        <v>35</v>
      </c>
      <c r="O28">
        <v>5</v>
      </c>
    </row>
    <row r="29" spans="1:15" x14ac:dyDescent="0.2">
      <c r="A29" t="s">
        <v>38</v>
      </c>
      <c r="B29" t="s">
        <v>39</v>
      </c>
      <c r="C29">
        <v>9</v>
      </c>
      <c r="D29">
        <v>0</v>
      </c>
      <c r="E29">
        <v>0</v>
      </c>
      <c r="F29">
        <v>4</v>
      </c>
      <c r="G29">
        <v>0</v>
      </c>
      <c r="H29">
        <v>0</v>
      </c>
      <c r="I29">
        <v>5</v>
      </c>
      <c r="J29">
        <v>2395.17</v>
      </c>
      <c r="K29">
        <v>0</v>
      </c>
      <c r="L29">
        <v>1200.8</v>
      </c>
      <c r="M29">
        <v>1330.65</v>
      </c>
      <c r="N29" t="s">
        <v>2</v>
      </c>
      <c r="O29">
        <v>5</v>
      </c>
    </row>
    <row r="30" spans="1:15" x14ac:dyDescent="0.2">
      <c r="A30" t="s">
        <v>40</v>
      </c>
      <c r="B30" t="s">
        <v>30</v>
      </c>
      <c r="C30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20</v>
      </c>
      <c r="J30">
        <v>2904.2</v>
      </c>
      <c r="K30">
        <v>0</v>
      </c>
      <c r="L30">
        <v>0</v>
      </c>
      <c r="M30">
        <v>2904.2</v>
      </c>
      <c r="N30" t="s">
        <v>2</v>
      </c>
      <c r="O30">
        <v>5</v>
      </c>
    </row>
    <row r="31" spans="1:15" x14ac:dyDescent="0.2">
      <c r="A31" t="s">
        <v>41</v>
      </c>
      <c r="B31" t="s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</v>
      </c>
      <c r="O31">
        <v>5</v>
      </c>
    </row>
    <row r="32" spans="1:15" x14ac:dyDescent="0.2">
      <c r="A32" t="s">
        <v>42</v>
      </c>
      <c r="B32" t="s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</v>
      </c>
      <c r="O32">
        <v>5</v>
      </c>
    </row>
    <row r="33" spans="1:15" x14ac:dyDescent="0.2">
      <c r="A33" t="s">
        <v>43</v>
      </c>
      <c r="B33" t="s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</v>
      </c>
      <c r="O33">
        <v>5</v>
      </c>
    </row>
    <row r="34" spans="1:15" x14ac:dyDescent="0.2">
      <c r="A34" t="s">
        <v>44</v>
      </c>
      <c r="B34" t="s">
        <v>28</v>
      </c>
      <c r="C34">
        <v>72</v>
      </c>
      <c r="D34">
        <v>0</v>
      </c>
      <c r="E34">
        <v>0</v>
      </c>
      <c r="F34">
        <v>0</v>
      </c>
      <c r="G34">
        <v>10</v>
      </c>
      <c r="H34">
        <v>0</v>
      </c>
      <c r="I34">
        <v>62</v>
      </c>
      <c r="J34">
        <v>9215.2800000000007</v>
      </c>
      <c r="K34">
        <v>0</v>
      </c>
      <c r="L34">
        <v>0</v>
      </c>
      <c r="M34">
        <v>7935.38</v>
      </c>
      <c r="N34" t="s">
        <v>2</v>
      </c>
      <c r="O34">
        <v>5</v>
      </c>
    </row>
    <row r="35" spans="1:15" x14ac:dyDescent="0.2">
      <c r="A35" t="s">
        <v>45</v>
      </c>
      <c r="B35" t="s">
        <v>46</v>
      </c>
      <c r="C35">
        <v>42</v>
      </c>
      <c r="D35">
        <v>0</v>
      </c>
      <c r="E35">
        <v>0</v>
      </c>
      <c r="F35">
        <v>0</v>
      </c>
      <c r="G35">
        <v>0</v>
      </c>
      <c r="H35">
        <v>0</v>
      </c>
      <c r="I35">
        <v>42</v>
      </c>
      <c r="J35">
        <v>3644.34</v>
      </c>
      <c r="K35">
        <v>0</v>
      </c>
      <c r="L35">
        <v>0</v>
      </c>
      <c r="M35">
        <v>3644.34</v>
      </c>
      <c r="N35" t="s">
        <v>47</v>
      </c>
      <c r="O35">
        <v>5</v>
      </c>
    </row>
    <row r="36" spans="1:15" x14ac:dyDescent="0.2">
      <c r="A36" t="s">
        <v>48</v>
      </c>
      <c r="B36" t="s">
        <v>12</v>
      </c>
      <c r="C36">
        <v>25</v>
      </c>
      <c r="D36">
        <v>0</v>
      </c>
      <c r="E36">
        <v>0</v>
      </c>
      <c r="F36">
        <v>0</v>
      </c>
      <c r="G36">
        <v>0</v>
      </c>
      <c r="H36">
        <v>0</v>
      </c>
      <c r="I36">
        <v>25</v>
      </c>
      <c r="J36">
        <v>1739.25</v>
      </c>
      <c r="K36">
        <v>0</v>
      </c>
      <c r="L36">
        <v>0</v>
      </c>
      <c r="M36">
        <v>1739.25</v>
      </c>
      <c r="N36" t="s">
        <v>2</v>
      </c>
      <c r="O36">
        <v>5</v>
      </c>
    </row>
    <row r="37" spans="1:15" x14ac:dyDescent="0.2">
      <c r="A37" t="s">
        <v>49</v>
      </c>
      <c r="B37" t="s">
        <v>50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25</v>
      </c>
      <c r="J37">
        <v>1663.25</v>
      </c>
      <c r="K37">
        <v>0</v>
      </c>
      <c r="L37">
        <v>0</v>
      </c>
      <c r="M37">
        <v>1663.25</v>
      </c>
      <c r="N37" t="s">
        <v>51</v>
      </c>
      <c r="O37">
        <v>18</v>
      </c>
    </row>
    <row r="38" spans="1:15" x14ac:dyDescent="0.2">
      <c r="A38" t="s">
        <v>52</v>
      </c>
      <c r="B38" t="s">
        <v>53</v>
      </c>
      <c r="C38">
        <v>24</v>
      </c>
      <c r="D38">
        <v>0</v>
      </c>
      <c r="E38">
        <v>0</v>
      </c>
      <c r="F38">
        <v>0</v>
      </c>
      <c r="G38">
        <v>0</v>
      </c>
      <c r="H38">
        <v>0</v>
      </c>
      <c r="I38">
        <v>24</v>
      </c>
      <c r="J38">
        <v>1318.8</v>
      </c>
      <c r="K38">
        <v>0</v>
      </c>
      <c r="L38">
        <v>0</v>
      </c>
      <c r="M38">
        <v>1318.8</v>
      </c>
      <c r="N38" t="s">
        <v>54</v>
      </c>
      <c r="O38">
        <v>5</v>
      </c>
    </row>
    <row r="39" spans="1:15" x14ac:dyDescent="0.2">
      <c r="A39" t="s">
        <v>55</v>
      </c>
      <c r="B39" t="s">
        <v>46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6</v>
      </c>
      <c r="J39">
        <v>485.94</v>
      </c>
      <c r="K39">
        <v>0</v>
      </c>
      <c r="L39">
        <v>0</v>
      </c>
      <c r="M39">
        <v>485.94</v>
      </c>
      <c r="N39" t="s">
        <v>54</v>
      </c>
      <c r="O39">
        <v>5</v>
      </c>
    </row>
    <row r="40" spans="1:15" x14ac:dyDescent="0.2">
      <c r="A40" t="s">
        <v>56</v>
      </c>
      <c r="B40" t="s">
        <v>50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9</v>
      </c>
      <c r="J40">
        <v>390.51</v>
      </c>
      <c r="K40">
        <v>0</v>
      </c>
      <c r="L40">
        <v>0</v>
      </c>
      <c r="M40">
        <v>390.51</v>
      </c>
      <c r="N40" t="s">
        <v>51</v>
      </c>
      <c r="O40">
        <v>18</v>
      </c>
    </row>
    <row r="41" spans="1:15" x14ac:dyDescent="0.2">
      <c r="A41" t="s">
        <v>57</v>
      </c>
      <c r="B41" t="s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13</v>
      </c>
      <c r="O41">
        <v>5</v>
      </c>
    </row>
    <row r="42" spans="1:15" x14ac:dyDescent="0.2">
      <c r="A42" t="s">
        <v>58</v>
      </c>
      <c r="B42" t="s">
        <v>12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347.4</v>
      </c>
      <c r="K42">
        <v>0</v>
      </c>
      <c r="L42">
        <v>0</v>
      </c>
      <c r="M42">
        <v>347.4</v>
      </c>
      <c r="N42" t="s">
        <v>2</v>
      </c>
      <c r="O42">
        <v>5</v>
      </c>
    </row>
    <row r="43" spans="1:15" x14ac:dyDescent="0.2">
      <c r="A43" t="s">
        <v>59</v>
      </c>
      <c r="B43" t="s">
        <v>53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8</v>
      </c>
      <c r="J43">
        <v>462.8</v>
      </c>
      <c r="K43">
        <v>0</v>
      </c>
      <c r="L43">
        <v>0</v>
      </c>
      <c r="M43">
        <v>462.8</v>
      </c>
      <c r="N43" t="s">
        <v>54</v>
      </c>
      <c r="O43">
        <v>5</v>
      </c>
    </row>
    <row r="44" spans="1:15" x14ac:dyDescent="0.2">
      <c r="A44" t="s">
        <v>59</v>
      </c>
      <c r="B44" t="s">
        <v>60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54</v>
      </c>
      <c r="O44">
        <v>5</v>
      </c>
    </row>
    <row r="45" spans="1:15" x14ac:dyDescent="0.2">
      <c r="A45" t="s">
        <v>61</v>
      </c>
      <c r="B45" t="s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35</v>
      </c>
      <c r="O45">
        <v>18</v>
      </c>
    </row>
    <row r="46" spans="1:15" x14ac:dyDescent="0.2">
      <c r="A46" t="s">
        <v>62</v>
      </c>
      <c r="B46" t="s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35</v>
      </c>
      <c r="O46">
        <v>18</v>
      </c>
    </row>
    <row r="47" spans="1:15" x14ac:dyDescent="0.2">
      <c r="A47" t="s">
        <v>63</v>
      </c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35</v>
      </c>
      <c r="O47">
        <v>18</v>
      </c>
    </row>
    <row r="48" spans="1:15" x14ac:dyDescent="0.2">
      <c r="A48" t="s">
        <v>64</v>
      </c>
      <c r="B48" t="s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</v>
      </c>
      <c r="O48">
        <v>5</v>
      </c>
    </row>
    <row r="49" spans="1:15" x14ac:dyDescent="0.2">
      <c r="A49" t="s">
        <v>65</v>
      </c>
      <c r="B49" t="s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</v>
      </c>
      <c r="O49">
        <v>5</v>
      </c>
    </row>
    <row r="50" spans="1:15" x14ac:dyDescent="0.2">
      <c r="A50" t="s">
        <v>66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51</v>
      </c>
      <c r="O50">
        <v>18</v>
      </c>
    </row>
    <row r="51" spans="1:15" x14ac:dyDescent="0.2">
      <c r="A51" t="s">
        <v>67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51</v>
      </c>
      <c r="O51">
        <v>18</v>
      </c>
    </row>
    <row r="52" spans="1:15" x14ac:dyDescent="0.2">
      <c r="A52" t="s">
        <v>68</v>
      </c>
      <c r="B52" t="s">
        <v>34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</v>
      </c>
      <c r="O52">
        <v>5</v>
      </c>
    </row>
    <row r="53" spans="1:15" x14ac:dyDescent="0.2">
      <c r="A53" t="s">
        <v>69</v>
      </c>
      <c r="B53" t="s">
        <v>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13</v>
      </c>
      <c r="O53">
        <v>5</v>
      </c>
    </row>
    <row r="54" spans="1:15" x14ac:dyDescent="0.2">
      <c r="A54" t="s">
        <v>70</v>
      </c>
      <c r="B54" t="s">
        <v>71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</v>
      </c>
      <c r="O54">
        <v>5</v>
      </c>
    </row>
    <row r="55" spans="1:15" x14ac:dyDescent="0.2">
      <c r="A55" t="s">
        <v>72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13</v>
      </c>
      <c r="O55">
        <v>5</v>
      </c>
    </row>
    <row r="56" spans="1:15" x14ac:dyDescent="0.2">
      <c r="A56" t="s">
        <v>73</v>
      </c>
      <c r="B56" t="s">
        <v>74</v>
      </c>
      <c r="C56">
        <v>103</v>
      </c>
      <c r="D56">
        <v>0</v>
      </c>
      <c r="E56">
        <v>0</v>
      </c>
      <c r="F56">
        <v>55</v>
      </c>
      <c r="G56">
        <v>45</v>
      </c>
      <c r="H56">
        <v>0</v>
      </c>
      <c r="I56">
        <v>3</v>
      </c>
      <c r="J56">
        <v>10087.82</v>
      </c>
      <c r="K56">
        <v>0</v>
      </c>
      <c r="L56">
        <v>6076.4</v>
      </c>
      <c r="M56">
        <v>293.82</v>
      </c>
      <c r="N56" t="s">
        <v>2</v>
      </c>
      <c r="O56">
        <v>5</v>
      </c>
    </row>
    <row r="57" spans="1:15" x14ac:dyDescent="0.2">
      <c r="A57" t="s">
        <v>73</v>
      </c>
      <c r="B57" t="s">
        <v>75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56</v>
      </c>
      <c r="J57">
        <v>6143.2</v>
      </c>
      <c r="K57">
        <v>0</v>
      </c>
      <c r="L57">
        <v>0</v>
      </c>
      <c r="M57">
        <v>6143.2</v>
      </c>
      <c r="N57" t="s">
        <v>2</v>
      </c>
      <c r="O57">
        <v>5</v>
      </c>
    </row>
    <row r="58" spans="1:15" x14ac:dyDescent="0.2">
      <c r="A58" t="s">
        <v>76</v>
      </c>
      <c r="B58" t="s">
        <v>15</v>
      </c>
      <c r="C58">
        <v>11</v>
      </c>
      <c r="D58">
        <v>0</v>
      </c>
      <c r="E58">
        <v>28</v>
      </c>
      <c r="F58">
        <v>0</v>
      </c>
      <c r="G58">
        <v>39</v>
      </c>
      <c r="H58">
        <v>0</v>
      </c>
      <c r="I58">
        <v>0</v>
      </c>
      <c r="J58">
        <v>1671.56</v>
      </c>
      <c r="K58">
        <v>0</v>
      </c>
      <c r="L58">
        <v>0</v>
      </c>
      <c r="M58">
        <v>0</v>
      </c>
      <c r="N58" t="s">
        <v>2</v>
      </c>
      <c r="O58">
        <v>5</v>
      </c>
    </row>
    <row r="59" spans="1:15" x14ac:dyDescent="0.2">
      <c r="A59" t="s">
        <v>76</v>
      </c>
      <c r="B59" t="s">
        <v>8</v>
      </c>
      <c r="C59">
        <v>44</v>
      </c>
      <c r="D59">
        <v>0</v>
      </c>
      <c r="E59">
        <v>0</v>
      </c>
      <c r="F59">
        <v>0</v>
      </c>
      <c r="G59">
        <v>0</v>
      </c>
      <c r="H59">
        <v>0</v>
      </c>
      <c r="I59">
        <v>44</v>
      </c>
      <c r="J59">
        <v>8715.08</v>
      </c>
      <c r="K59">
        <v>0</v>
      </c>
      <c r="L59">
        <v>0</v>
      </c>
      <c r="M59">
        <v>8715.08</v>
      </c>
      <c r="N59" t="s">
        <v>2</v>
      </c>
      <c r="O59">
        <v>5</v>
      </c>
    </row>
    <row r="60" spans="1:15" x14ac:dyDescent="0.2">
      <c r="A60" t="s">
        <v>77</v>
      </c>
      <c r="B60" t="s">
        <v>6</v>
      </c>
      <c r="C60">
        <v>33</v>
      </c>
      <c r="D60">
        <v>0</v>
      </c>
      <c r="E60">
        <v>0</v>
      </c>
      <c r="F60">
        <v>0</v>
      </c>
      <c r="G60">
        <v>0</v>
      </c>
      <c r="H60">
        <v>0</v>
      </c>
      <c r="I60">
        <v>33</v>
      </c>
      <c r="J60">
        <v>4424.3100000000004</v>
      </c>
      <c r="K60">
        <v>0</v>
      </c>
      <c r="L60">
        <v>0</v>
      </c>
      <c r="M60">
        <v>4424.3100000000004</v>
      </c>
      <c r="N60" t="s">
        <v>2</v>
      </c>
      <c r="O60">
        <v>5</v>
      </c>
    </row>
    <row r="61" spans="1:15" x14ac:dyDescent="0.2">
      <c r="A61" t="s">
        <v>78</v>
      </c>
      <c r="B61" t="s">
        <v>24</v>
      </c>
      <c r="C61">
        <v>459</v>
      </c>
      <c r="D61">
        <v>0</v>
      </c>
      <c r="E61">
        <v>0</v>
      </c>
      <c r="F61">
        <v>56</v>
      </c>
      <c r="G61">
        <v>0</v>
      </c>
      <c r="H61">
        <v>0</v>
      </c>
      <c r="I61">
        <v>403</v>
      </c>
      <c r="J61">
        <v>64338.03</v>
      </c>
      <c r="K61">
        <v>0</v>
      </c>
      <c r="L61">
        <v>11989.6</v>
      </c>
      <c r="M61">
        <v>56488.51</v>
      </c>
      <c r="N61" t="s">
        <v>2</v>
      </c>
      <c r="O61">
        <v>5</v>
      </c>
    </row>
    <row r="62" spans="1:15" x14ac:dyDescent="0.2">
      <c r="A62" t="s">
        <v>79</v>
      </c>
      <c r="B62" t="s">
        <v>8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11</v>
      </c>
      <c r="J62">
        <v>1039.17</v>
      </c>
      <c r="K62">
        <v>0</v>
      </c>
      <c r="L62">
        <v>0</v>
      </c>
      <c r="M62">
        <v>1039.17</v>
      </c>
      <c r="N62" t="s">
        <v>2</v>
      </c>
      <c r="O62">
        <v>5</v>
      </c>
    </row>
    <row r="63" spans="1:15" x14ac:dyDescent="0.2">
      <c r="A63" t="s">
        <v>80</v>
      </c>
      <c r="B63" t="s">
        <v>81</v>
      </c>
      <c r="C63">
        <v>41</v>
      </c>
      <c r="D63">
        <v>0</v>
      </c>
      <c r="E63">
        <v>0</v>
      </c>
      <c r="F63">
        <v>0</v>
      </c>
      <c r="G63">
        <v>20</v>
      </c>
      <c r="H63">
        <v>0</v>
      </c>
      <c r="I63">
        <v>21</v>
      </c>
      <c r="J63">
        <v>7006.08</v>
      </c>
      <c r="K63">
        <v>0</v>
      </c>
      <c r="L63">
        <v>0</v>
      </c>
      <c r="M63">
        <v>3588.48</v>
      </c>
      <c r="N63" t="s">
        <v>2</v>
      </c>
      <c r="O63">
        <v>5</v>
      </c>
    </row>
    <row r="64" spans="1:15" x14ac:dyDescent="0.2">
      <c r="A64" t="s">
        <v>82</v>
      </c>
      <c r="B64" t="s">
        <v>19</v>
      </c>
      <c r="C64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  <c r="J64">
        <v>1441.33</v>
      </c>
      <c r="K64">
        <v>0</v>
      </c>
      <c r="L64">
        <v>0</v>
      </c>
      <c r="M64">
        <v>1441.33</v>
      </c>
      <c r="N64" t="s">
        <v>2</v>
      </c>
      <c r="O64">
        <v>5</v>
      </c>
    </row>
    <row r="65" spans="1:15" x14ac:dyDescent="0.2">
      <c r="A65" t="s">
        <v>83</v>
      </c>
      <c r="B65" t="s">
        <v>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</v>
      </c>
      <c r="O65">
        <v>5</v>
      </c>
    </row>
    <row r="66" spans="1:15" x14ac:dyDescent="0.2">
      <c r="A66" t="s">
        <v>84</v>
      </c>
      <c r="B66" t="s">
        <v>85</v>
      </c>
      <c r="C66">
        <v>11</v>
      </c>
      <c r="D66">
        <v>0</v>
      </c>
      <c r="E66">
        <v>0</v>
      </c>
      <c r="F66">
        <v>0</v>
      </c>
      <c r="G66">
        <v>0</v>
      </c>
      <c r="H66">
        <v>0</v>
      </c>
      <c r="I66">
        <v>11</v>
      </c>
      <c r="J66">
        <v>3967.48</v>
      </c>
      <c r="K66">
        <v>0</v>
      </c>
      <c r="L66">
        <v>0</v>
      </c>
      <c r="M66">
        <v>3967.48</v>
      </c>
      <c r="N66" t="s">
        <v>2</v>
      </c>
      <c r="O66">
        <v>5</v>
      </c>
    </row>
    <row r="67" spans="1:15" x14ac:dyDescent="0.2">
      <c r="A67" t="s">
        <v>86</v>
      </c>
      <c r="B67" t="s">
        <v>30</v>
      </c>
      <c r="C67">
        <v>127</v>
      </c>
      <c r="D67">
        <v>0</v>
      </c>
      <c r="E67">
        <v>0</v>
      </c>
      <c r="F67">
        <v>10</v>
      </c>
      <c r="G67">
        <v>10</v>
      </c>
      <c r="H67">
        <v>0</v>
      </c>
      <c r="I67">
        <v>107</v>
      </c>
      <c r="J67">
        <v>22044.66</v>
      </c>
      <c r="K67">
        <v>0</v>
      </c>
      <c r="L67">
        <v>1958</v>
      </c>
      <c r="M67">
        <v>18573.060000000001</v>
      </c>
      <c r="N67" t="s">
        <v>2</v>
      </c>
      <c r="O67">
        <v>5</v>
      </c>
    </row>
    <row r="68" spans="1:15" x14ac:dyDescent="0.2">
      <c r="A68" t="s">
        <v>87</v>
      </c>
      <c r="B68" t="s">
        <v>81</v>
      </c>
      <c r="C68">
        <v>148</v>
      </c>
      <c r="D68">
        <v>0</v>
      </c>
      <c r="E68">
        <v>0</v>
      </c>
      <c r="F68">
        <v>32</v>
      </c>
      <c r="G68">
        <v>26</v>
      </c>
      <c r="H68">
        <v>0</v>
      </c>
      <c r="I68">
        <v>90</v>
      </c>
      <c r="J68">
        <v>20592.72</v>
      </c>
      <c r="K68">
        <v>0</v>
      </c>
      <c r="L68">
        <v>5022.72</v>
      </c>
      <c r="M68">
        <v>12522.6</v>
      </c>
      <c r="N68" t="s">
        <v>2</v>
      </c>
      <c r="O68">
        <v>5</v>
      </c>
    </row>
    <row r="69" spans="1:15" x14ac:dyDescent="0.2">
      <c r="A69" t="s">
        <v>88</v>
      </c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</v>
      </c>
      <c r="O69">
        <v>5</v>
      </c>
    </row>
    <row r="70" spans="1:15" x14ac:dyDescent="0.2">
      <c r="A70" t="s">
        <v>89</v>
      </c>
      <c r="B70" t="s">
        <v>24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</v>
      </c>
      <c r="O70">
        <v>5</v>
      </c>
    </row>
    <row r="71" spans="1:15" x14ac:dyDescent="0.2">
      <c r="A71" t="s">
        <v>90</v>
      </c>
      <c r="B71" t="s">
        <v>91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</v>
      </c>
      <c r="O71">
        <v>5</v>
      </c>
    </row>
    <row r="72" spans="1:15" x14ac:dyDescent="0.2">
      <c r="A72" t="s">
        <v>92</v>
      </c>
      <c r="B72" t="s">
        <v>6</v>
      </c>
      <c r="C72">
        <v>19</v>
      </c>
      <c r="D72">
        <v>0</v>
      </c>
      <c r="E72">
        <v>0</v>
      </c>
      <c r="F72">
        <v>0</v>
      </c>
      <c r="G72">
        <v>0</v>
      </c>
      <c r="H72">
        <v>0</v>
      </c>
      <c r="I72">
        <v>19</v>
      </c>
      <c r="J72">
        <v>2766.97</v>
      </c>
      <c r="K72">
        <v>0</v>
      </c>
      <c r="L72">
        <v>0</v>
      </c>
      <c r="M72">
        <v>2766.97</v>
      </c>
      <c r="N72" t="s">
        <v>2</v>
      </c>
      <c r="O72">
        <v>5</v>
      </c>
    </row>
    <row r="73" spans="1:15" x14ac:dyDescent="0.2">
      <c r="A73" t="s">
        <v>93</v>
      </c>
      <c r="B73" t="s">
        <v>34</v>
      </c>
      <c r="C73">
        <v>108</v>
      </c>
      <c r="D73">
        <v>0</v>
      </c>
      <c r="E73">
        <v>0</v>
      </c>
      <c r="F73">
        <v>38</v>
      </c>
      <c r="G73">
        <v>0</v>
      </c>
      <c r="H73">
        <v>0</v>
      </c>
      <c r="I73">
        <v>70</v>
      </c>
      <c r="J73">
        <v>14662.08</v>
      </c>
      <c r="K73">
        <v>0</v>
      </c>
      <c r="L73">
        <v>5819.32</v>
      </c>
      <c r="M73">
        <v>9503.2000000000007</v>
      </c>
      <c r="N73" t="s">
        <v>2</v>
      </c>
      <c r="O73">
        <v>5</v>
      </c>
    </row>
    <row r="74" spans="1:15" x14ac:dyDescent="0.2">
      <c r="A74" t="s">
        <v>94</v>
      </c>
      <c r="B74" t="s">
        <v>24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</v>
      </c>
      <c r="O74">
        <v>5</v>
      </c>
    </row>
    <row r="75" spans="1:15" x14ac:dyDescent="0.2">
      <c r="A75" t="s">
        <v>95</v>
      </c>
      <c r="B75" t="s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97</v>
      </c>
      <c r="O75">
        <v>18</v>
      </c>
    </row>
    <row r="76" spans="1:15" x14ac:dyDescent="0.2">
      <c r="A76" t="s">
        <v>98</v>
      </c>
      <c r="B76" t="s">
        <v>15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65.5</v>
      </c>
      <c r="K76">
        <v>0</v>
      </c>
      <c r="L76">
        <v>0</v>
      </c>
      <c r="M76">
        <v>65.5</v>
      </c>
      <c r="N76" t="s">
        <v>97</v>
      </c>
      <c r="O76">
        <v>18</v>
      </c>
    </row>
    <row r="77" spans="1:15" x14ac:dyDescent="0.2">
      <c r="A77" t="s">
        <v>99</v>
      </c>
      <c r="B77" t="s">
        <v>15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97</v>
      </c>
      <c r="O77">
        <v>18</v>
      </c>
    </row>
    <row r="78" spans="1:15" x14ac:dyDescent="0.2">
      <c r="A78" t="s">
        <v>100</v>
      </c>
      <c r="B78" t="s">
        <v>101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97</v>
      </c>
      <c r="O78">
        <v>18</v>
      </c>
    </row>
    <row r="79" spans="1:15" x14ac:dyDescent="0.2">
      <c r="A79" t="s">
        <v>102</v>
      </c>
      <c r="B79" t="s">
        <v>101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491.16</v>
      </c>
      <c r="K79">
        <v>0</v>
      </c>
      <c r="L79">
        <v>0</v>
      </c>
      <c r="M79">
        <v>491.16</v>
      </c>
      <c r="N79" t="s">
        <v>97</v>
      </c>
      <c r="O79">
        <v>18</v>
      </c>
    </row>
    <row r="80" spans="1:15" x14ac:dyDescent="0.2">
      <c r="A80" t="s">
        <v>103</v>
      </c>
      <c r="B80" t="s">
        <v>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35</v>
      </c>
      <c r="O80">
        <v>5</v>
      </c>
    </row>
    <row r="81" spans="1:15" x14ac:dyDescent="0.2">
      <c r="A81" t="s">
        <v>104</v>
      </c>
      <c r="B81" t="s">
        <v>8</v>
      </c>
      <c r="C81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18</v>
      </c>
      <c r="J81">
        <v>4443.12</v>
      </c>
      <c r="K81">
        <v>0</v>
      </c>
      <c r="L81">
        <v>0</v>
      </c>
      <c r="M81">
        <v>4443.12</v>
      </c>
      <c r="N81" t="s">
        <v>35</v>
      </c>
      <c r="O81">
        <v>5</v>
      </c>
    </row>
    <row r="82" spans="1:15" x14ac:dyDescent="0.2">
      <c r="A82" t="s">
        <v>105</v>
      </c>
      <c r="B82" t="s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</v>
      </c>
      <c r="O82">
        <v>5</v>
      </c>
    </row>
    <row r="83" spans="1:15" x14ac:dyDescent="0.2">
      <c r="A83" t="s">
        <v>106</v>
      </c>
      <c r="B83" t="s">
        <v>107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8</v>
      </c>
      <c r="J83">
        <v>2593.6799999999998</v>
      </c>
      <c r="K83">
        <v>0</v>
      </c>
      <c r="L83">
        <v>0</v>
      </c>
      <c r="M83">
        <v>2593.6799999999998</v>
      </c>
      <c r="N83" t="s">
        <v>2</v>
      </c>
      <c r="O83">
        <v>5</v>
      </c>
    </row>
    <row r="84" spans="1:15" x14ac:dyDescent="0.2">
      <c r="A84" t="s">
        <v>108</v>
      </c>
      <c r="B84" t="s">
        <v>109</v>
      </c>
      <c r="C84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18</v>
      </c>
      <c r="J84">
        <v>2303.8200000000002</v>
      </c>
      <c r="K84">
        <v>0</v>
      </c>
      <c r="L84">
        <v>0</v>
      </c>
      <c r="M84">
        <v>2303.8200000000002</v>
      </c>
      <c r="N84" t="s">
        <v>2</v>
      </c>
      <c r="O84">
        <v>5</v>
      </c>
    </row>
    <row r="85" spans="1:15" x14ac:dyDescent="0.2">
      <c r="A85" t="s">
        <v>110</v>
      </c>
      <c r="B85" t="s">
        <v>17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118.86</v>
      </c>
      <c r="K85">
        <v>0</v>
      </c>
      <c r="L85">
        <v>0</v>
      </c>
      <c r="M85">
        <v>118.86</v>
      </c>
      <c r="N85" t="s">
        <v>2</v>
      </c>
      <c r="O85">
        <v>5</v>
      </c>
    </row>
    <row r="86" spans="1:15" x14ac:dyDescent="0.2">
      <c r="A86" t="s">
        <v>111</v>
      </c>
      <c r="B86" t="s">
        <v>112</v>
      </c>
      <c r="C86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18</v>
      </c>
      <c r="J86">
        <v>6492.24</v>
      </c>
      <c r="K86">
        <v>0</v>
      </c>
      <c r="L86">
        <v>0</v>
      </c>
      <c r="M86">
        <v>6492.24</v>
      </c>
      <c r="N86" t="s">
        <v>13</v>
      </c>
      <c r="O86">
        <v>5</v>
      </c>
    </row>
    <row r="87" spans="1:15" x14ac:dyDescent="0.2">
      <c r="A87" t="s">
        <v>113</v>
      </c>
      <c r="B87" t="s">
        <v>30</v>
      </c>
      <c r="C87">
        <v>13</v>
      </c>
      <c r="D87">
        <v>56</v>
      </c>
      <c r="E87">
        <v>0</v>
      </c>
      <c r="F87">
        <v>33</v>
      </c>
      <c r="G87">
        <v>28</v>
      </c>
      <c r="H87">
        <v>0</v>
      </c>
      <c r="I87">
        <v>8</v>
      </c>
      <c r="J87">
        <v>1975.48</v>
      </c>
      <c r="K87">
        <v>8509.76</v>
      </c>
      <c r="L87">
        <v>5656.86</v>
      </c>
      <c r="M87">
        <v>1215.68</v>
      </c>
      <c r="N87" t="s">
        <v>2</v>
      </c>
      <c r="O87">
        <v>5</v>
      </c>
    </row>
    <row r="88" spans="1:15" x14ac:dyDescent="0.2">
      <c r="A88" t="s">
        <v>114</v>
      </c>
      <c r="B88" t="s">
        <v>24</v>
      </c>
      <c r="C88">
        <v>23</v>
      </c>
      <c r="D88">
        <v>0</v>
      </c>
      <c r="E88">
        <v>0</v>
      </c>
      <c r="F88">
        <v>20</v>
      </c>
      <c r="G88">
        <v>0</v>
      </c>
      <c r="H88">
        <v>0</v>
      </c>
      <c r="I88">
        <v>3</v>
      </c>
      <c r="J88">
        <v>3992.34</v>
      </c>
      <c r="K88">
        <v>0</v>
      </c>
      <c r="L88">
        <v>3916</v>
      </c>
      <c r="M88">
        <v>520.74</v>
      </c>
      <c r="N88" t="s">
        <v>2</v>
      </c>
      <c r="O88">
        <v>5</v>
      </c>
    </row>
    <row r="89" spans="1:15" x14ac:dyDescent="0.2">
      <c r="A89" t="s">
        <v>115</v>
      </c>
      <c r="B89" t="s">
        <v>8</v>
      </c>
      <c r="C89">
        <v>28</v>
      </c>
      <c r="D89">
        <v>0</v>
      </c>
      <c r="E89">
        <v>0</v>
      </c>
      <c r="F89">
        <v>0</v>
      </c>
      <c r="G89">
        <v>0</v>
      </c>
      <c r="H89">
        <v>0</v>
      </c>
      <c r="I89">
        <v>28</v>
      </c>
      <c r="J89">
        <v>2378.6</v>
      </c>
      <c r="K89">
        <v>0</v>
      </c>
      <c r="L89">
        <v>0</v>
      </c>
      <c r="M89">
        <v>2378.6</v>
      </c>
      <c r="N89" t="s">
        <v>2</v>
      </c>
      <c r="O89">
        <v>5</v>
      </c>
    </row>
    <row r="90" spans="1:15" x14ac:dyDescent="0.2">
      <c r="A90" t="s">
        <v>116</v>
      </c>
      <c r="B90" t="s">
        <v>17</v>
      </c>
      <c r="C90">
        <v>54</v>
      </c>
      <c r="D90">
        <v>0</v>
      </c>
      <c r="E90">
        <v>0</v>
      </c>
      <c r="F90">
        <v>3</v>
      </c>
      <c r="G90">
        <v>0</v>
      </c>
      <c r="H90">
        <v>0</v>
      </c>
      <c r="I90">
        <v>51</v>
      </c>
      <c r="J90">
        <v>5821.2</v>
      </c>
      <c r="K90">
        <v>0</v>
      </c>
      <c r="L90">
        <v>685.74</v>
      </c>
      <c r="M90">
        <v>5497.8</v>
      </c>
      <c r="N90" t="s">
        <v>13</v>
      </c>
      <c r="O90">
        <v>5</v>
      </c>
    </row>
    <row r="91" spans="1:15" x14ac:dyDescent="0.2">
      <c r="A91" t="s">
        <v>117</v>
      </c>
      <c r="B91" t="s">
        <v>24</v>
      </c>
      <c r="C91">
        <v>78</v>
      </c>
      <c r="D91">
        <v>0</v>
      </c>
      <c r="E91">
        <v>0</v>
      </c>
      <c r="F91">
        <v>0</v>
      </c>
      <c r="G91">
        <v>0</v>
      </c>
      <c r="H91">
        <v>0</v>
      </c>
      <c r="I91">
        <v>78</v>
      </c>
      <c r="J91">
        <v>13065.78</v>
      </c>
      <c r="K91">
        <v>0</v>
      </c>
      <c r="L91">
        <v>0</v>
      </c>
      <c r="M91">
        <v>13065.78</v>
      </c>
      <c r="N91" t="s">
        <v>2</v>
      </c>
      <c r="O91">
        <v>5</v>
      </c>
    </row>
    <row r="92" spans="1:15" x14ac:dyDescent="0.2">
      <c r="A92" t="s">
        <v>118</v>
      </c>
      <c r="B92" t="s">
        <v>28</v>
      </c>
      <c r="C92">
        <v>21</v>
      </c>
      <c r="D92">
        <v>0</v>
      </c>
      <c r="E92">
        <v>0</v>
      </c>
      <c r="F92">
        <v>5</v>
      </c>
      <c r="G92">
        <v>0</v>
      </c>
      <c r="H92">
        <v>0</v>
      </c>
      <c r="I92">
        <v>16</v>
      </c>
      <c r="J92">
        <v>2194.08</v>
      </c>
      <c r="K92">
        <v>0</v>
      </c>
      <c r="L92">
        <v>640</v>
      </c>
      <c r="M92">
        <v>1671.68</v>
      </c>
      <c r="N92" t="s">
        <v>2</v>
      </c>
      <c r="O92">
        <v>5</v>
      </c>
    </row>
    <row r="93" spans="1:15" x14ac:dyDescent="0.2">
      <c r="A93" t="s">
        <v>119</v>
      </c>
      <c r="B93" t="s">
        <v>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</v>
      </c>
      <c r="O93">
        <v>5</v>
      </c>
    </row>
    <row r="94" spans="1:15" x14ac:dyDescent="0.2">
      <c r="A94" t="s">
        <v>120</v>
      </c>
      <c r="B94" t="s">
        <v>19</v>
      </c>
      <c r="C94">
        <v>25</v>
      </c>
      <c r="D94">
        <v>0</v>
      </c>
      <c r="E94">
        <v>0</v>
      </c>
      <c r="F94">
        <v>0</v>
      </c>
      <c r="G94">
        <v>10</v>
      </c>
      <c r="H94">
        <v>0</v>
      </c>
      <c r="I94">
        <v>15</v>
      </c>
      <c r="J94">
        <v>2448.5</v>
      </c>
      <c r="K94">
        <v>0</v>
      </c>
      <c r="L94">
        <v>0</v>
      </c>
      <c r="M94">
        <v>1469.1</v>
      </c>
      <c r="N94" t="s">
        <v>2</v>
      </c>
      <c r="O94">
        <v>5</v>
      </c>
    </row>
    <row r="95" spans="1:15" x14ac:dyDescent="0.2">
      <c r="A95" t="s">
        <v>121</v>
      </c>
      <c r="B95" t="s">
        <v>121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121</v>
      </c>
      <c r="O95">
        <v>0</v>
      </c>
    </row>
    <row r="96" spans="1:15" x14ac:dyDescent="0.2">
      <c r="A96" t="s">
        <v>121</v>
      </c>
      <c r="B96" t="s">
        <v>121</v>
      </c>
      <c r="C96">
        <v>2313</v>
      </c>
      <c r="D96">
        <v>340</v>
      </c>
      <c r="E96">
        <v>30</v>
      </c>
      <c r="F96">
        <v>594</v>
      </c>
      <c r="G96">
        <v>47335</v>
      </c>
      <c r="H96">
        <v>2</v>
      </c>
      <c r="I96">
        <v>1771</v>
      </c>
      <c r="J96">
        <v>310313.40000000002</v>
      </c>
      <c r="K96">
        <v>46387.360000000001</v>
      </c>
      <c r="L96">
        <v>95727.53</v>
      </c>
      <c r="M96">
        <v>239066.05</v>
      </c>
      <c r="N96" t="s">
        <v>121</v>
      </c>
      <c r="O96">
        <v>0</v>
      </c>
    </row>
    <row r="97" spans="1:15" x14ac:dyDescent="0.2">
      <c r="A97" t="s">
        <v>121</v>
      </c>
      <c r="B97" t="s">
        <v>121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121</v>
      </c>
      <c r="O97">
        <v>0</v>
      </c>
    </row>
    <row r="98" spans="1:15" x14ac:dyDescent="0.2">
      <c r="A98" t="s">
        <v>122</v>
      </c>
      <c r="B98" t="s">
        <v>121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121</v>
      </c>
      <c r="O98">
        <v>0</v>
      </c>
    </row>
    <row r="99" spans="1:15" x14ac:dyDescent="0.2">
      <c r="A99" t="s">
        <v>123</v>
      </c>
      <c r="B99" t="s">
        <v>121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121</v>
      </c>
      <c r="O99">
        <v>0</v>
      </c>
    </row>
    <row r="100" spans="1:15" x14ac:dyDescent="0.2">
      <c r="A100" t="s">
        <v>124</v>
      </c>
      <c r="B100" t="s">
        <v>121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121</v>
      </c>
      <c r="O100">
        <v>0</v>
      </c>
    </row>
    <row r="101" spans="1:15" x14ac:dyDescent="0.2">
      <c r="A101" t="s">
        <v>125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121</v>
      </c>
      <c r="O101">
        <v>0</v>
      </c>
    </row>
    <row r="102" spans="1:15" x14ac:dyDescent="0.2">
      <c r="A102" t="s">
        <v>126</v>
      </c>
      <c r="B102" t="s">
        <v>121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121</v>
      </c>
      <c r="O102">
        <v>0</v>
      </c>
    </row>
    <row r="103" spans="1:15" x14ac:dyDescent="0.2">
      <c r="A103" t="s">
        <v>127</v>
      </c>
      <c r="B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121</v>
      </c>
      <c r="O103">
        <v>0</v>
      </c>
    </row>
    <row r="104" spans="1:15" x14ac:dyDescent="0.2">
      <c r="A104" t="s">
        <v>128</v>
      </c>
      <c r="B104" t="s">
        <v>121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121</v>
      </c>
      <c r="O104">
        <v>0</v>
      </c>
    </row>
    <row r="105" spans="1:15" x14ac:dyDescent="0.2">
      <c r="A105" t="s">
        <v>129</v>
      </c>
      <c r="B105" t="s">
        <v>121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121</v>
      </c>
      <c r="O105">
        <v>0</v>
      </c>
    </row>
    <row r="106" spans="1:15" x14ac:dyDescent="0.2">
      <c r="A106" t="s">
        <v>121</v>
      </c>
      <c r="B106" t="s">
        <v>121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121</v>
      </c>
      <c r="O106">
        <v>0</v>
      </c>
    </row>
  </sheetData>
  <mergeCells count="6">
    <mergeCell ref="A6:O6"/>
    <mergeCell ref="A1:O1"/>
    <mergeCell ref="A2:O2"/>
    <mergeCell ref="A3:O3"/>
    <mergeCell ref="A4:O4"/>
    <mergeCell ref="A5:O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HIMALAYA ZANDRA_SEP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Bhosale</dc:creator>
  <cp:lastModifiedBy>User</cp:lastModifiedBy>
  <dcterms:created xsi:type="dcterms:W3CDTF">2026-09-22T14:31:09Z</dcterms:created>
  <dcterms:modified xsi:type="dcterms:W3CDTF">2026-09-22T14:31:10Z</dcterms:modified>
</cp:coreProperties>
</file>