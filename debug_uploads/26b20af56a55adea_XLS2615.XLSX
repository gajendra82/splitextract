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VAXLX\"/>
    </mc:Choice>
  </mc:AlternateContent>
  <xr:revisionPtr revIDLastSave="0" documentId="13_ncr:1_{9C5F6CB5-42D8-44F8-A8BF-7C658556BEA5}" xr6:coauthVersionLast="47" xr6:coauthVersionMax="47" xr10:uidLastSave="{00000000-0000-0000-0000-000000000000}"/>
  <bookViews>
    <workbookView xWindow="-120" yWindow="-120" windowWidth="15600" windowHeight="11160" xr2:uid="{CC1F1827-3FB7-42C1-8C11-BA5471926ADE}"/>
  </bookViews>
  <sheets>
    <sheet name="XLS26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7" i="1" l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</calcChain>
</file>

<file path=xl/sharedStrings.xml><?xml version="1.0" encoding="utf-8"?>
<sst xmlns="http://schemas.openxmlformats.org/spreadsheetml/2006/main" count="309" uniqueCount="180">
  <si>
    <t>ARJUNA TAB</t>
  </si>
  <si>
    <t>60t</t>
  </si>
  <si>
    <t>30049011</t>
  </si>
  <si>
    <t>BONNISAN DROP</t>
  </si>
  <si>
    <t>30ML</t>
  </si>
  <si>
    <t>BONNISAN SYRUP</t>
  </si>
  <si>
    <t>100ML</t>
  </si>
  <si>
    <t>BONNISAN200ML</t>
  </si>
  <si>
    <t>200ml</t>
  </si>
  <si>
    <t>BONNISPAZ DROP</t>
  </si>
  <si>
    <t>15ML</t>
  </si>
  <si>
    <t>BRESOL SY200ML</t>
  </si>
  <si>
    <t>200ML</t>
  </si>
  <si>
    <t>BRESOL TAB</t>
  </si>
  <si>
    <t>60TAB</t>
  </si>
  <si>
    <t>BRESOL-NS DROP</t>
  </si>
  <si>
    <t>10ML</t>
  </si>
  <si>
    <t>CYSTONE 200ML</t>
  </si>
  <si>
    <t>CYSTONE FORTE TAB</t>
  </si>
  <si>
    <t>1*30T</t>
  </si>
  <si>
    <t>CYSTONE SF LIQ</t>
  </si>
  <si>
    <t>CYSTONE TAB</t>
  </si>
  <si>
    <t>60 TAB</t>
  </si>
  <si>
    <t>EVE-CARE SYP</t>
  </si>
  <si>
    <t>200 ML</t>
  </si>
  <si>
    <t>EVECARE CAP</t>
  </si>
  <si>
    <t>30CAP</t>
  </si>
  <si>
    <t>EVECARE FORTE 200ML</t>
  </si>
  <si>
    <t>EVECARE FORTE TAB</t>
  </si>
  <si>
    <t>10TAB</t>
  </si>
  <si>
    <t>EVECARE SY[B]</t>
  </si>
  <si>
    <t>400ML</t>
  </si>
  <si>
    <t>FLORASANTE CAP</t>
  </si>
  <si>
    <t>20s</t>
  </si>
  <si>
    <t>21069099</t>
  </si>
  <si>
    <t>GALACTOSURE GRANULES</t>
  </si>
  <si>
    <t>200G</t>
  </si>
  <si>
    <t>GERIFORT SYP</t>
  </si>
  <si>
    <t>GERIFORTE TAB</t>
  </si>
  <si>
    <t>100TAB</t>
  </si>
  <si>
    <t>HARIDRA TAB</t>
  </si>
  <si>
    <t>60tab</t>
  </si>
  <si>
    <t>HIMCOSPAZ CAP</t>
  </si>
  <si>
    <t>10CAP</t>
  </si>
  <si>
    <t>HIMPLASIA TAB</t>
  </si>
  <si>
    <t>30TAB</t>
  </si>
  <si>
    <t>HIORA GA</t>
  </si>
  <si>
    <t>HIORA K MOUTH WASH</t>
  </si>
  <si>
    <t>150ML</t>
  </si>
  <si>
    <t>33069000</t>
  </si>
  <si>
    <t>HIORA K TOOTHPEST 100GM</t>
  </si>
  <si>
    <t>100G</t>
  </si>
  <si>
    <t>33061020</t>
  </si>
  <si>
    <t>HIORA MOUTHWASH REG</t>
  </si>
  <si>
    <t>HIORA PAIN GEL6*10GM</t>
  </si>
  <si>
    <t>6*10GM</t>
  </si>
  <si>
    <t>HIORA TOOTHPASTE</t>
  </si>
  <si>
    <t>50 gm</t>
  </si>
  <si>
    <t>HIORA TOOTHPEST100GM</t>
  </si>
  <si>
    <t>33610200</t>
  </si>
  <si>
    <t>HIORA-K TOOTHPEST</t>
  </si>
  <si>
    <t>50G</t>
  </si>
  <si>
    <t>HIORA-SG GEL</t>
  </si>
  <si>
    <t>10G</t>
  </si>
  <si>
    <t>IMMUSANTE TAB</t>
  </si>
  <si>
    <t>20T</t>
  </si>
  <si>
    <t>KARELA TAB</t>
  </si>
  <si>
    <t>LASUNA TAB</t>
  </si>
  <si>
    <t>60CAP</t>
  </si>
  <si>
    <t>LIV 52DROP</t>
  </si>
  <si>
    <t>60ML</t>
  </si>
  <si>
    <t>LIV 52DS SYRUP</t>
  </si>
  <si>
    <t>LIV 52DS TAB</t>
  </si>
  <si>
    <t>LIV52DROP120ML</t>
  </si>
  <si>
    <t>120ML</t>
  </si>
  <si>
    <t>LIV52DS SY 200ML</t>
  </si>
  <si>
    <t>LIV52DS SYR[SUGGER FREE]</t>
  </si>
  <si>
    <t>LUKOL SYRUP</t>
  </si>
  <si>
    <t>LUKOL TAB</t>
  </si>
  <si>
    <t>MENOSAN TAB</t>
  </si>
  <si>
    <t>1*30</t>
  </si>
  <si>
    <t>MENTAT DS SYP</t>
  </si>
  <si>
    <t>MENTAT GUMMIES</t>
  </si>
  <si>
    <t>30S</t>
  </si>
  <si>
    <t>MENTAT SYP</t>
  </si>
  <si>
    <t>MENTAT TAB</t>
  </si>
  <si>
    <t>MESHASHRINGI CAP</t>
  </si>
  <si>
    <t>METHI TAB</t>
  </si>
  <si>
    <t>60S</t>
  </si>
  <si>
    <t>PLATENZA SYR 100ML</t>
  </si>
  <si>
    <t>PLATENZA TAB</t>
  </si>
  <si>
    <t>PUNARNAVA TAB</t>
  </si>
  <si>
    <t>PURE HAND ADV[BLU]</t>
  </si>
  <si>
    <t>500ML</t>
  </si>
  <si>
    <t>38089400</t>
  </si>
  <si>
    <t>QUISTA KIDZ 200GM</t>
  </si>
  <si>
    <t>200GM</t>
  </si>
  <si>
    <t>REOSTO</t>
  </si>
  <si>
    <t>SEPTILIN GUMMIES</t>
  </si>
  <si>
    <t>SEPTILIN SYRUP</t>
  </si>
  <si>
    <t>SEPTILIN TAB</t>
  </si>
  <si>
    <t>SERPINA TAB</t>
  </si>
  <si>
    <t>100S</t>
  </si>
  <si>
    <t>SHATAVARI SYRUP</t>
  </si>
  <si>
    <t>SHATAVARI TAB</t>
  </si>
  <si>
    <t>SHUDDHA GUGGUL TAB</t>
  </si>
  <si>
    <t>SPEMAN TAB</t>
  </si>
  <si>
    <t>STYPLON TAB</t>
  </si>
  <si>
    <t>30T</t>
  </si>
  <si>
    <t>V-GEL OINT</t>
  </si>
  <si>
    <t>30GM</t>
  </si>
  <si>
    <t/>
  </si>
  <si>
    <t>MR.Balance:    14027.00</t>
  </si>
  <si>
    <t>OPENING :  114501.76</t>
  </si>
  <si>
    <t>PURCHASE :  109508.88</t>
  </si>
  <si>
    <t>SALES :  119382.62</t>
  </si>
  <si>
    <t>UC SALE :       0.00</t>
  </si>
  <si>
    <t>CL.STK.:  120953.80</t>
  </si>
  <si>
    <t>Opening On SaleRate:  137347.6</t>
  </si>
  <si>
    <t>Purchase On SaleRate:  123537.</t>
  </si>
  <si>
    <t>Closing On SaleRate:  141473.8</t>
  </si>
  <si>
    <t xml:space="preserve">SANJEEVANI AYURVED AGENCY               </t>
  </si>
  <si>
    <t>KUNAL PLAZA, DAVA BAZAR,                 From : 01/09/2026</t>
  </si>
  <si>
    <t>CHINCHWAD STATION,PUNE-411019.           To : 30/09/2026</t>
  </si>
  <si>
    <t>TEL:-02046701414,9881438849.            Report Date : 29-Sep-2026</t>
  </si>
  <si>
    <t>STOCK &amp; SALE STATEMENT</t>
  </si>
  <si>
    <t>Company Name : HIMALAY WELLNESSCO[ZANDRA</t>
  </si>
  <si>
    <t>MR WISE OUTSTANDING REPORT</t>
  </si>
  <si>
    <t>SrNo.</t>
  </si>
  <si>
    <t>Bill No</t>
  </si>
  <si>
    <t>Type</t>
  </si>
  <si>
    <t>BillDate</t>
  </si>
  <si>
    <t>Party Name</t>
  </si>
  <si>
    <t>Address</t>
  </si>
  <si>
    <t>Address2</t>
  </si>
  <si>
    <t>Bill Amount</t>
  </si>
  <si>
    <t>Balance</t>
  </si>
  <si>
    <t>Received</t>
  </si>
  <si>
    <t>OverDays</t>
  </si>
  <si>
    <t>Intrest</t>
  </si>
  <si>
    <t>Remark</t>
  </si>
  <si>
    <t xml:space="preserve">  4464L</t>
  </si>
  <si>
    <t>Cash/Credit</t>
  </si>
  <si>
    <t>17/08/2024</t>
  </si>
  <si>
    <t xml:space="preserve">SIDDHI MEDICAL&amp;GEN STORES     </t>
  </si>
  <si>
    <t xml:space="preserve">NEAR VISHAL GARDAN, CHAKAN    </t>
  </si>
  <si>
    <t xml:space="preserve">CHAKAN                        </t>
  </si>
  <si>
    <t>NEW NO-020-27483371</t>
  </si>
  <si>
    <t xml:space="preserve">  6348L</t>
  </si>
  <si>
    <t xml:space="preserve">AVIGHN MEDICARE               </t>
  </si>
  <si>
    <t xml:space="preserve">SHOP NO1 GR FLW CHAKAN        </t>
  </si>
  <si>
    <t xml:space="preserve">NEAR ZITRAIMATA MANDIR CHAKAN </t>
  </si>
  <si>
    <t xml:space="preserve">DR.AJIT PATIL                 </t>
  </si>
  <si>
    <t xml:space="preserve">LONDHE VASTI DANGE CHWOK      </t>
  </si>
  <si>
    <t xml:space="preserve">THERGAON                      </t>
  </si>
  <si>
    <t>26/06/2026</t>
  </si>
  <si>
    <t xml:space="preserve">EKVIRA MEDICAL                </t>
  </si>
  <si>
    <t xml:space="preserve">SHOP NO6,FIST FLW TAKAVE      </t>
  </si>
  <si>
    <t xml:space="preserve">KHADI KANHE ROAD              </t>
  </si>
  <si>
    <t>28/09/2026</t>
  </si>
  <si>
    <t xml:space="preserve">DR.RAVINDRA CHAVAN            </t>
  </si>
  <si>
    <t xml:space="preserve">BHOSARI                       </t>
  </si>
  <si>
    <t xml:space="preserve">BHOASRI                       </t>
  </si>
  <si>
    <t>NEAR EXPIRY REPORT</t>
  </si>
  <si>
    <t>Product</t>
  </si>
  <si>
    <t>Pack</t>
  </si>
  <si>
    <t>Comp</t>
  </si>
  <si>
    <t>Batch</t>
  </si>
  <si>
    <t>Expiry</t>
  </si>
  <si>
    <t>P.RATE</t>
  </si>
  <si>
    <t>Qty</t>
  </si>
  <si>
    <t>Amount</t>
  </si>
  <si>
    <t xml:space="preserve">MENTAT GUMMIES                </t>
  </si>
  <si>
    <t xml:space="preserve">30S   </t>
  </si>
  <si>
    <t>HIM</t>
  </si>
  <si>
    <t xml:space="preserve">240029*        </t>
  </si>
  <si>
    <t xml:space="preserve">LIV52DS SYR[SUGGER FREE]      </t>
  </si>
  <si>
    <t xml:space="preserve">100ML </t>
  </si>
  <si>
    <t xml:space="preserve">241033*        </t>
  </si>
  <si>
    <t xml:space="preserve">Grand Total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</si>
</sst>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8A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Continuous"/>
    </xf>
    <xf numFmtId="14" fontId="0" fillId="0" borderId="0" xfId="0" applyNumberForma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661CB-C74A-4137-B1EF-F7344F4F4246}">
  <dimension ref="A1:T114"/>
  <sheetViews>
    <sheetView tabSelected="1" workbookViewId="0">
      <pane ySplit="7" topLeftCell="A8" activePane="bottomLeft" state="frozen"/>
      <selection pane="bottomLeft" activeCell="A8" sqref="A8:T8"/>
    </sheetView>
  </sheetViews>
  <sheetFormatPr defaultRowHeight="15" x14ac:dyDescent="0.25"/>
  <cols>
    <col min="1" max="1" width="29.28515625" bestFit="1" customWidth="1"/>
    <col min="2" max="2" width="8" bestFit="1" customWidth="1"/>
    <col min="3" max="3" width="9.7109375" bestFit="1" customWidth="1"/>
    <col min="4" max="4" width="8.42578125" bestFit="1" customWidth="1"/>
    <col min="5" max="5" width="9.28515625" bestFit="1" customWidth="1"/>
    <col min="6" max="6" width="8" bestFit="1" customWidth="1"/>
    <col min="7" max="7" width="8.85546875" bestFit="1" customWidth="1"/>
    <col min="8" max="8" width="7.42578125" bestFit="1" customWidth="1"/>
    <col min="9" max="9" width="7.28515625" bestFit="1" customWidth="1"/>
    <col min="10" max="10" width="8.140625" bestFit="1" customWidth="1"/>
    <col min="11" max="11" width="7.140625" bestFit="1" customWidth="1"/>
    <col min="12" max="12" width="10.140625" bestFit="1" customWidth="1"/>
    <col min="13" max="15" width="10" bestFit="1" customWidth="1"/>
    <col min="16" max="16" width="9" bestFit="1" customWidth="1"/>
    <col min="17" max="17" width="10.140625" bestFit="1" customWidth="1"/>
    <col min="18" max="18" width="8.28515625" bestFit="1" customWidth="1"/>
    <col min="19" max="19" width="10.28515625" bestFit="1" customWidth="1"/>
    <col min="20" max="20" width="12.42578125" bestFit="1" customWidth="1"/>
  </cols>
  <sheetData>
    <row r="1" spans="1:20" x14ac:dyDescent="0.25">
      <c r="A1" s="4" t="s">
        <v>121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25">
      <c r="A2" s="4" t="s">
        <v>122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25">
      <c r="A3" s="4" t="s">
        <v>123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25">
      <c r="A4" s="4" t="s">
        <v>124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x14ac:dyDescent="0.25">
      <c r="A5" s="3" t="s">
        <v>125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3" t="s">
        <v>126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1" t="str">
        <f>UPPER("name")</f>
        <v>NAME</v>
      </c>
      <c r="B7" s="1" t="str">
        <f>UPPER("pack")</f>
        <v>PACK</v>
      </c>
      <c r="C7" s="1" t="str">
        <f>UPPER("openstk")</f>
        <v>OPENSTK</v>
      </c>
      <c r="D7" s="1" t="str">
        <f>UPPER("purstk")</f>
        <v>PURSTK</v>
      </c>
      <c r="E7" s="1" t="str">
        <f>UPPER("purscm")</f>
        <v>PURSCM</v>
      </c>
      <c r="F7" s="1" t="str">
        <f>UPPER("crestk")</f>
        <v>CRESTK</v>
      </c>
      <c r="G7" s="1" t="str">
        <f>UPPER("salestk")</f>
        <v>SALESTK</v>
      </c>
      <c r="H7" s="1" t="str">
        <f>UPPER("slscm")</f>
        <v>SLSCM</v>
      </c>
      <c r="I7" s="1" t="str">
        <f>UPPER("ucstk")</f>
        <v>UCSTK</v>
      </c>
      <c r="J7" s="1" t="str">
        <f>UPPER("ucscm")</f>
        <v>UCSCM</v>
      </c>
      <c r="K7" s="1" t="str">
        <f>UPPER("dbstk")</f>
        <v>DBSTK</v>
      </c>
      <c r="L7" s="1" t="str">
        <f>UPPER("closestk")</f>
        <v>CLOSESTK</v>
      </c>
      <c r="M7" s="1" t="str">
        <f>UPPER("openval")</f>
        <v>OPENVAL</v>
      </c>
      <c r="N7" s="1" t="str">
        <f>UPPER("purval")</f>
        <v>PURVAL</v>
      </c>
      <c r="O7" s="1" t="str">
        <f>UPPER("saleval")</f>
        <v>SALEVAL</v>
      </c>
      <c r="P7" s="1" t="str">
        <f>UPPER("clsval")</f>
        <v>CLSVAL</v>
      </c>
      <c r="Q7" s="1" t="str">
        <f>UPPER("hsncode")</f>
        <v>HSNCODE</v>
      </c>
      <c r="R7" s="1" t="str">
        <f>UPPER("taxper")</f>
        <v>TAXPER</v>
      </c>
      <c r="S7" s="1" t="str">
        <f>UPPER("slgstval")</f>
        <v>SLGSTVAL</v>
      </c>
      <c r="T7" s="1" t="str">
        <f>UPPER("scmgstval")</f>
        <v>SCMGSTVAL</v>
      </c>
    </row>
    <row r="8" spans="1:20" x14ac:dyDescent="0.25">
      <c r="A8" t="s">
        <v>0</v>
      </c>
      <c r="B8" t="s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2</v>
      </c>
      <c r="R8">
        <v>5</v>
      </c>
      <c r="S8">
        <v>0</v>
      </c>
      <c r="T8">
        <v>0</v>
      </c>
    </row>
    <row r="9" spans="1:20" x14ac:dyDescent="0.25">
      <c r="A9" t="s">
        <v>3</v>
      </c>
      <c r="B9" t="s">
        <v>4</v>
      </c>
      <c r="C9">
        <v>34</v>
      </c>
      <c r="D9">
        <v>0</v>
      </c>
      <c r="E9">
        <v>0</v>
      </c>
      <c r="F9">
        <v>0</v>
      </c>
      <c r="G9">
        <v>13</v>
      </c>
      <c r="H9">
        <v>0</v>
      </c>
      <c r="I9">
        <v>0</v>
      </c>
      <c r="J9">
        <v>0</v>
      </c>
      <c r="K9">
        <v>0</v>
      </c>
      <c r="L9">
        <v>21</v>
      </c>
      <c r="M9">
        <v>2250.46</v>
      </c>
      <c r="N9">
        <v>0</v>
      </c>
      <c r="O9">
        <v>970.58</v>
      </c>
      <c r="P9">
        <v>1389.99</v>
      </c>
      <c r="Q9" t="s">
        <v>2</v>
      </c>
      <c r="R9">
        <v>5</v>
      </c>
      <c r="S9">
        <v>1019.11</v>
      </c>
      <c r="T9">
        <v>0</v>
      </c>
    </row>
    <row r="10" spans="1:20" x14ac:dyDescent="0.25">
      <c r="A10" t="s">
        <v>5</v>
      </c>
      <c r="B10" t="s">
        <v>6</v>
      </c>
      <c r="C10">
        <v>51</v>
      </c>
      <c r="D10">
        <v>0</v>
      </c>
      <c r="E10">
        <v>0</v>
      </c>
      <c r="F10">
        <v>0</v>
      </c>
      <c r="G10">
        <v>11</v>
      </c>
      <c r="H10">
        <v>0</v>
      </c>
      <c r="I10">
        <v>0</v>
      </c>
      <c r="J10">
        <v>0</v>
      </c>
      <c r="K10">
        <v>0</v>
      </c>
      <c r="L10">
        <v>40</v>
      </c>
      <c r="M10">
        <v>2483.6999999999998</v>
      </c>
      <c r="N10">
        <v>0</v>
      </c>
      <c r="O10">
        <v>745.8</v>
      </c>
      <c r="P10">
        <v>1948</v>
      </c>
      <c r="Q10" t="s">
        <v>2</v>
      </c>
      <c r="R10">
        <v>5</v>
      </c>
      <c r="S10">
        <v>783.09</v>
      </c>
      <c r="T10">
        <v>0</v>
      </c>
    </row>
    <row r="11" spans="1:20" x14ac:dyDescent="0.25">
      <c r="A11" t="s">
        <v>7</v>
      </c>
      <c r="B11" t="s">
        <v>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2</v>
      </c>
      <c r="R11">
        <v>5</v>
      </c>
      <c r="S11">
        <v>0</v>
      </c>
      <c r="T11">
        <v>0</v>
      </c>
    </row>
    <row r="12" spans="1:20" x14ac:dyDescent="0.25">
      <c r="A12" t="s">
        <v>9</v>
      </c>
      <c r="B12" t="s">
        <v>10</v>
      </c>
      <c r="C12">
        <v>21</v>
      </c>
      <c r="D12">
        <v>0</v>
      </c>
      <c r="E12">
        <v>0</v>
      </c>
      <c r="F12">
        <v>0</v>
      </c>
      <c r="G12">
        <v>10</v>
      </c>
      <c r="H12">
        <v>0</v>
      </c>
      <c r="I12">
        <v>0</v>
      </c>
      <c r="J12">
        <v>0</v>
      </c>
      <c r="K12">
        <v>0</v>
      </c>
      <c r="L12">
        <v>11</v>
      </c>
      <c r="M12">
        <v>1191.54</v>
      </c>
      <c r="N12">
        <v>0</v>
      </c>
      <c r="O12">
        <v>640</v>
      </c>
      <c r="P12">
        <v>624.14</v>
      </c>
      <c r="Q12" t="s">
        <v>2</v>
      </c>
      <c r="R12">
        <v>5</v>
      </c>
      <c r="S12">
        <v>672</v>
      </c>
      <c r="T12">
        <v>0</v>
      </c>
    </row>
    <row r="13" spans="1:20" x14ac:dyDescent="0.25">
      <c r="A13" t="s">
        <v>11</v>
      </c>
      <c r="B13" t="s">
        <v>12</v>
      </c>
      <c r="C13">
        <v>11</v>
      </c>
      <c r="D13">
        <v>0</v>
      </c>
      <c r="E13">
        <v>0</v>
      </c>
      <c r="F13">
        <v>0</v>
      </c>
      <c r="G13">
        <v>11</v>
      </c>
      <c r="H13">
        <v>0</v>
      </c>
      <c r="I13">
        <v>0</v>
      </c>
      <c r="J13">
        <v>0</v>
      </c>
      <c r="K13">
        <v>0</v>
      </c>
      <c r="L13">
        <v>0</v>
      </c>
      <c r="M13">
        <v>1597.31</v>
      </c>
      <c r="N13">
        <v>0</v>
      </c>
      <c r="O13">
        <v>1801.8</v>
      </c>
      <c r="P13">
        <v>0</v>
      </c>
      <c r="Q13" t="s">
        <v>2</v>
      </c>
      <c r="R13">
        <v>5</v>
      </c>
      <c r="S13">
        <v>1891.89</v>
      </c>
      <c r="T13">
        <v>0</v>
      </c>
    </row>
    <row r="14" spans="1:20" x14ac:dyDescent="0.25">
      <c r="A14" t="s">
        <v>13</v>
      </c>
      <c r="B14" t="s">
        <v>14</v>
      </c>
      <c r="C14">
        <v>5</v>
      </c>
      <c r="D14">
        <v>50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54</v>
      </c>
      <c r="M14">
        <v>837.55</v>
      </c>
      <c r="N14">
        <v>8375.5</v>
      </c>
      <c r="O14">
        <v>188.96</v>
      </c>
      <c r="P14">
        <v>9045.5400000000009</v>
      </c>
      <c r="Q14" t="s">
        <v>2</v>
      </c>
      <c r="R14">
        <v>5</v>
      </c>
      <c r="S14">
        <v>198.41</v>
      </c>
      <c r="T14">
        <v>0</v>
      </c>
    </row>
    <row r="15" spans="1:20" x14ac:dyDescent="0.25">
      <c r="A15" t="s">
        <v>15</v>
      </c>
      <c r="B15" t="s">
        <v>16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2</v>
      </c>
      <c r="R15">
        <v>5</v>
      </c>
      <c r="S15">
        <v>0</v>
      </c>
      <c r="T15">
        <v>0</v>
      </c>
    </row>
    <row r="16" spans="1:20" x14ac:dyDescent="0.25">
      <c r="A16" t="s">
        <v>17</v>
      </c>
      <c r="B16" t="s">
        <v>12</v>
      </c>
      <c r="C16">
        <v>24</v>
      </c>
      <c r="D16">
        <v>28</v>
      </c>
      <c r="E16">
        <v>0</v>
      </c>
      <c r="F16">
        <v>0</v>
      </c>
      <c r="G16">
        <v>49</v>
      </c>
      <c r="H16">
        <v>0</v>
      </c>
      <c r="I16">
        <v>0</v>
      </c>
      <c r="J16">
        <v>0</v>
      </c>
      <c r="K16">
        <v>0</v>
      </c>
      <c r="L16">
        <v>3</v>
      </c>
      <c r="M16">
        <v>4392.96</v>
      </c>
      <c r="N16">
        <v>5125.12</v>
      </c>
      <c r="O16">
        <v>10118.5</v>
      </c>
      <c r="P16">
        <v>549.12</v>
      </c>
      <c r="Q16" t="s">
        <v>2</v>
      </c>
      <c r="R16">
        <v>5</v>
      </c>
      <c r="S16">
        <v>10624.43</v>
      </c>
      <c r="T16">
        <v>0</v>
      </c>
    </row>
    <row r="17" spans="1:20" x14ac:dyDescent="0.25">
      <c r="A17" t="s">
        <v>18</v>
      </c>
      <c r="B17" t="s">
        <v>19</v>
      </c>
      <c r="C17">
        <v>25</v>
      </c>
      <c r="D17">
        <v>0</v>
      </c>
      <c r="E17">
        <v>0</v>
      </c>
      <c r="F17">
        <v>0</v>
      </c>
      <c r="G17">
        <v>13</v>
      </c>
      <c r="H17">
        <v>0</v>
      </c>
      <c r="I17">
        <v>0</v>
      </c>
      <c r="J17">
        <v>0</v>
      </c>
      <c r="K17">
        <v>0</v>
      </c>
      <c r="L17">
        <v>12</v>
      </c>
      <c r="M17">
        <v>2684.75</v>
      </c>
      <c r="N17">
        <v>0</v>
      </c>
      <c r="O17">
        <v>1574.95</v>
      </c>
      <c r="P17">
        <v>1288.68</v>
      </c>
      <c r="Q17" t="s">
        <v>2</v>
      </c>
      <c r="R17">
        <v>5</v>
      </c>
      <c r="S17">
        <v>1653.7</v>
      </c>
      <c r="T17">
        <v>0</v>
      </c>
    </row>
    <row r="18" spans="1:20" x14ac:dyDescent="0.25">
      <c r="A18" t="s">
        <v>20</v>
      </c>
      <c r="B18" t="s">
        <v>12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2</v>
      </c>
      <c r="R18">
        <v>5</v>
      </c>
      <c r="S18">
        <v>0</v>
      </c>
      <c r="T18">
        <v>0</v>
      </c>
    </row>
    <row r="19" spans="1:20" x14ac:dyDescent="0.25">
      <c r="A19" t="s">
        <v>21</v>
      </c>
      <c r="B19" t="s">
        <v>22</v>
      </c>
      <c r="C19">
        <v>41</v>
      </c>
      <c r="D19">
        <v>100</v>
      </c>
      <c r="E19">
        <v>0</v>
      </c>
      <c r="F19">
        <v>0</v>
      </c>
      <c r="G19">
        <v>134</v>
      </c>
      <c r="H19">
        <v>0</v>
      </c>
      <c r="I19">
        <v>0</v>
      </c>
      <c r="J19">
        <v>0</v>
      </c>
      <c r="K19">
        <v>0</v>
      </c>
      <c r="L19">
        <v>7</v>
      </c>
      <c r="M19">
        <v>6729.33</v>
      </c>
      <c r="N19">
        <v>16413</v>
      </c>
      <c r="O19">
        <v>24810.1</v>
      </c>
      <c r="P19">
        <v>1148.9100000000001</v>
      </c>
      <c r="Q19" t="s">
        <v>2</v>
      </c>
      <c r="R19">
        <v>5</v>
      </c>
      <c r="S19">
        <v>26050.61</v>
      </c>
      <c r="T19">
        <v>0</v>
      </c>
    </row>
    <row r="20" spans="1:20" x14ac:dyDescent="0.25">
      <c r="A20" t="s">
        <v>23</v>
      </c>
      <c r="B20" t="s">
        <v>24</v>
      </c>
      <c r="C20">
        <v>10</v>
      </c>
      <c r="D20">
        <v>56</v>
      </c>
      <c r="E20">
        <v>0</v>
      </c>
      <c r="F20">
        <v>0</v>
      </c>
      <c r="G20">
        <v>43</v>
      </c>
      <c r="H20">
        <v>0</v>
      </c>
      <c r="I20">
        <v>0</v>
      </c>
      <c r="J20">
        <v>0</v>
      </c>
      <c r="K20">
        <v>0</v>
      </c>
      <c r="L20">
        <v>23</v>
      </c>
      <c r="M20">
        <v>1452.1</v>
      </c>
      <c r="N20">
        <v>8131.76</v>
      </c>
      <c r="O20">
        <v>7043.4</v>
      </c>
      <c r="P20">
        <v>3339.83</v>
      </c>
      <c r="Q20" t="s">
        <v>2</v>
      </c>
      <c r="R20">
        <v>5</v>
      </c>
      <c r="S20">
        <v>7395.57</v>
      </c>
      <c r="T20">
        <v>0</v>
      </c>
    </row>
    <row r="21" spans="1:20" x14ac:dyDescent="0.25">
      <c r="A21" t="s">
        <v>25</v>
      </c>
      <c r="B21" t="s">
        <v>26</v>
      </c>
      <c r="C21">
        <v>19</v>
      </c>
      <c r="D21">
        <v>0</v>
      </c>
      <c r="E21">
        <v>0</v>
      </c>
      <c r="F21">
        <v>0</v>
      </c>
      <c r="G21">
        <v>5</v>
      </c>
      <c r="H21">
        <v>0</v>
      </c>
      <c r="I21">
        <v>0</v>
      </c>
      <c r="J21">
        <v>0</v>
      </c>
      <c r="K21">
        <v>0</v>
      </c>
      <c r="L21">
        <v>14</v>
      </c>
      <c r="M21">
        <v>2721.37</v>
      </c>
      <c r="N21">
        <v>0</v>
      </c>
      <c r="O21">
        <v>925.75</v>
      </c>
      <c r="P21">
        <v>2005.22</v>
      </c>
      <c r="Q21" t="s">
        <v>2</v>
      </c>
      <c r="R21">
        <v>5</v>
      </c>
      <c r="S21">
        <v>972.04</v>
      </c>
      <c r="T21">
        <v>0</v>
      </c>
    </row>
    <row r="22" spans="1:20" x14ac:dyDescent="0.25">
      <c r="A22" t="s">
        <v>27</v>
      </c>
      <c r="B22" t="s">
        <v>12</v>
      </c>
      <c r="C22">
        <v>18</v>
      </c>
      <c r="D22">
        <v>28</v>
      </c>
      <c r="E22">
        <v>0</v>
      </c>
      <c r="F22">
        <v>0</v>
      </c>
      <c r="G22">
        <v>46</v>
      </c>
      <c r="H22">
        <v>0</v>
      </c>
      <c r="I22">
        <v>0</v>
      </c>
      <c r="J22">
        <v>0</v>
      </c>
      <c r="K22">
        <v>0</v>
      </c>
      <c r="L22">
        <v>0</v>
      </c>
      <c r="M22">
        <v>3124.44</v>
      </c>
      <c r="N22">
        <v>4860.24</v>
      </c>
      <c r="O22">
        <v>9009.1</v>
      </c>
      <c r="P22">
        <v>0</v>
      </c>
      <c r="Q22" t="s">
        <v>2</v>
      </c>
      <c r="R22">
        <v>5</v>
      </c>
      <c r="S22">
        <v>9459.56</v>
      </c>
      <c r="T22">
        <v>0</v>
      </c>
    </row>
    <row r="23" spans="1:20" x14ac:dyDescent="0.25">
      <c r="A23" t="s">
        <v>28</v>
      </c>
      <c r="B23" t="s">
        <v>29</v>
      </c>
      <c r="C23">
        <v>29</v>
      </c>
      <c r="D23">
        <v>84</v>
      </c>
      <c r="E23">
        <v>0</v>
      </c>
      <c r="F23">
        <v>0</v>
      </c>
      <c r="G23">
        <v>21</v>
      </c>
      <c r="H23">
        <v>0</v>
      </c>
      <c r="I23">
        <v>0</v>
      </c>
      <c r="J23">
        <v>0</v>
      </c>
      <c r="K23">
        <v>0</v>
      </c>
      <c r="L23">
        <v>92</v>
      </c>
      <c r="M23">
        <v>1880.36</v>
      </c>
      <c r="N23">
        <v>5446.56</v>
      </c>
      <c r="O23">
        <v>1536.15</v>
      </c>
      <c r="P23">
        <v>5965.28</v>
      </c>
      <c r="Q23" t="s">
        <v>2</v>
      </c>
      <c r="R23">
        <v>5</v>
      </c>
      <c r="S23">
        <v>1612.96</v>
      </c>
      <c r="T23">
        <v>0</v>
      </c>
    </row>
    <row r="24" spans="1:20" x14ac:dyDescent="0.25">
      <c r="A24" t="s">
        <v>30</v>
      </c>
      <c r="B24" t="s">
        <v>31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2</v>
      </c>
      <c r="R24">
        <v>5</v>
      </c>
      <c r="S24">
        <v>0</v>
      </c>
      <c r="T24">
        <v>0</v>
      </c>
    </row>
    <row r="25" spans="1:20" x14ac:dyDescent="0.25">
      <c r="A25" t="s">
        <v>32</v>
      </c>
      <c r="B25" t="s">
        <v>33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34</v>
      </c>
      <c r="R25">
        <v>5</v>
      </c>
      <c r="S25">
        <v>0</v>
      </c>
      <c r="T25">
        <v>0</v>
      </c>
    </row>
    <row r="26" spans="1:20" x14ac:dyDescent="0.25">
      <c r="A26" t="s">
        <v>35</v>
      </c>
      <c r="B26" t="s">
        <v>36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2</v>
      </c>
      <c r="R26">
        <v>5</v>
      </c>
      <c r="S26">
        <v>0</v>
      </c>
      <c r="T26">
        <v>0</v>
      </c>
    </row>
    <row r="27" spans="1:20" x14ac:dyDescent="0.25">
      <c r="A27" t="s">
        <v>37</v>
      </c>
      <c r="B27" t="s">
        <v>24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2</v>
      </c>
      <c r="R27">
        <v>5</v>
      </c>
      <c r="S27">
        <v>0</v>
      </c>
      <c r="T27">
        <v>0</v>
      </c>
    </row>
    <row r="28" spans="1:20" x14ac:dyDescent="0.25">
      <c r="A28" t="s">
        <v>38</v>
      </c>
      <c r="B28" t="s">
        <v>39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2</v>
      </c>
      <c r="R28">
        <v>5</v>
      </c>
      <c r="S28">
        <v>0</v>
      </c>
      <c r="T28">
        <v>0</v>
      </c>
    </row>
    <row r="29" spans="1:20" x14ac:dyDescent="0.25">
      <c r="A29" t="s">
        <v>40</v>
      </c>
      <c r="B29" t="s">
        <v>41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2</v>
      </c>
      <c r="R29">
        <v>5</v>
      </c>
      <c r="S29">
        <v>0</v>
      </c>
      <c r="T29">
        <v>0</v>
      </c>
    </row>
    <row r="30" spans="1:20" x14ac:dyDescent="0.25">
      <c r="A30" t="s">
        <v>42</v>
      </c>
      <c r="B30" t="s">
        <v>43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2</v>
      </c>
      <c r="R30">
        <v>5</v>
      </c>
      <c r="S30">
        <v>0</v>
      </c>
      <c r="T30">
        <v>0</v>
      </c>
    </row>
    <row r="31" spans="1:20" x14ac:dyDescent="0.25">
      <c r="A31" t="s">
        <v>44</v>
      </c>
      <c r="B31" t="s">
        <v>45</v>
      </c>
      <c r="C31">
        <v>33</v>
      </c>
      <c r="D31">
        <v>0</v>
      </c>
      <c r="E31">
        <v>0</v>
      </c>
      <c r="F31">
        <v>0</v>
      </c>
      <c r="G31">
        <v>7</v>
      </c>
      <c r="H31">
        <v>0</v>
      </c>
      <c r="I31">
        <v>0</v>
      </c>
      <c r="J31">
        <v>0</v>
      </c>
      <c r="K31">
        <v>0</v>
      </c>
      <c r="L31">
        <v>26</v>
      </c>
      <c r="M31">
        <v>10922.01</v>
      </c>
      <c r="N31">
        <v>0</v>
      </c>
      <c r="O31">
        <v>2613.4499999999998</v>
      </c>
      <c r="P31">
        <v>8605.2199999999993</v>
      </c>
      <c r="Q31" t="s">
        <v>2</v>
      </c>
      <c r="R31">
        <v>5</v>
      </c>
      <c r="S31">
        <v>2744.12</v>
      </c>
      <c r="T31">
        <v>0</v>
      </c>
    </row>
    <row r="32" spans="1:20" x14ac:dyDescent="0.25">
      <c r="A32" t="s">
        <v>46</v>
      </c>
      <c r="B32" t="s">
        <v>10</v>
      </c>
      <c r="C32">
        <v>52</v>
      </c>
      <c r="D32">
        <v>0</v>
      </c>
      <c r="E32">
        <v>0</v>
      </c>
      <c r="F32">
        <v>0</v>
      </c>
      <c r="G32">
        <v>52</v>
      </c>
      <c r="H32">
        <v>0</v>
      </c>
      <c r="I32">
        <v>0</v>
      </c>
      <c r="J32">
        <v>0</v>
      </c>
      <c r="K32">
        <v>0</v>
      </c>
      <c r="L32">
        <v>0</v>
      </c>
      <c r="M32">
        <v>3617.64</v>
      </c>
      <c r="N32">
        <v>0</v>
      </c>
      <c r="O32">
        <v>4082</v>
      </c>
      <c r="P32">
        <v>0</v>
      </c>
      <c r="Q32" t="s">
        <v>2</v>
      </c>
      <c r="R32">
        <v>5</v>
      </c>
      <c r="S32">
        <v>4286.1000000000004</v>
      </c>
      <c r="T32">
        <v>0</v>
      </c>
    </row>
    <row r="33" spans="1:20" x14ac:dyDescent="0.25">
      <c r="A33" t="s">
        <v>47</v>
      </c>
      <c r="B33" t="s">
        <v>48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49</v>
      </c>
      <c r="R33">
        <v>5</v>
      </c>
      <c r="S33">
        <v>0</v>
      </c>
      <c r="T33">
        <v>0</v>
      </c>
    </row>
    <row r="34" spans="1:20" x14ac:dyDescent="0.25">
      <c r="A34" t="s">
        <v>50</v>
      </c>
      <c r="B34" t="s">
        <v>51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52</v>
      </c>
      <c r="R34">
        <v>5</v>
      </c>
      <c r="S34">
        <v>0</v>
      </c>
      <c r="T34">
        <v>0</v>
      </c>
    </row>
    <row r="35" spans="1:20" x14ac:dyDescent="0.25">
      <c r="A35" t="s">
        <v>53</v>
      </c>
      <c r="B35" t="s">
        <v>48</v>
      </c>
      <c r="C35">
        <v>13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13</v>
      </c>
      <c r="M35">
        <v>859.56</v>
      </c>
      <c r="N35">
        <v>0</v>
      </c>
      <c r="O35">
        <v>0</v>
      </c>
      <c r="P35">
        <v>859.56</v>
      </c>
      <c r="Q35" t="s">
        <v>49</v>
      </c>
      <c r="R35">
        <v>5</v>
      </c>
      <c r="S35">
        <v>0</v>
      </c>
      <c r="T35">
        <v>0</v>
      </c>
    </row>
    <row r="36" spans="1:20" x14ac:dyDescent="0.25">
      <c r="A36" t="s">
        <v>54</v>
      </c>
      <c r="B36" t="s">
        <v>55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2</v>
      </c>
      <c r="R36">
        <v>5</v>
      </c>
      <c r="S36">
        <v>0</v>
      </c>
      <c r="T36">
        <v>0</v>
      </c>
    </row>
    <row r="37" spans="1:20" x14ac:dyDescent="0.25">
      <c r="A37" t="s">
        <v>56</v>
      </c>
      <c r="B37" t="s">
        <v>57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52</v>
      </c>
      <c r="R37">
        <v>5</v>
      </c>
      <c r="S37">
        <v>0</v>
      </c>
      <c r="T37">
        <v>0</v>
      </c>
    </row>
    <row r="38" spans="1:20" x14ac:dyDescent="0.25">
      <c r="A38" t="s">
        <v>58</v>
      </c>
      <c r="B38" t="s">
        <v>51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59</v>
      </c>
      <c r="R38">
        <v>5</v>
      </c>
      <c r="S38">
        <v>0</v>
      </c>
      <c r="T38">
        <v>0</v>
      </c>
    </row>
    <row r="39" spans="1:20" x14ac:dyDescent="0.25">
      <c r="A39" t="s">
        <v>60</v>
      </c>
      <c r="B39" t="s">
        <v>61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52</v>
      </c>
      <c r="R39">
        <v>5</v>
      </c>
      <c r="S39">
        <v>0</v>
      </c>
      <c r="T39">
        <v>0</v>
      </c>
    </row>
    <row r="40" spans="1:20" x14ac:dyDescent="0.25">
      <c r="A40" t="s">
        <v>62</v>
      </c>
      <c r="B40" t="s">
        <v>63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2</v>
      </c>
      <c r="R40">
        <v>5</v>
      </c>
      <c r="S40">
        <v>0</v>
      </c>
      <c r="T40">
        <v>0</v>
      </c>
    </row>
    <row r="41" spans="1:20" x14ac:dyDescent="0.25">
      <c r="A41" t="s">
        <v>64</v>
      </c>
      <c r="B41" t="s">
        <v>65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2</v>
      </c>
      <c r="R41">
        <v>5</v>
      </c>
      <c r="S41">
        <v>0</v>
      </c>
      <c r="T41">
        <v>0</v>
      </c>
    </row>
    <row r="42" spans="1:20" x14ac:dyDescent="0.25">
      <c r="A42" t="s">
        <v>66</v>
      </c>
      <c r="B42" t="s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2</v>
      </c>
      <c r="R42">
        <v>5</v>
      </c>
      <c r="S42">
        <v>0</v>
      </c>
      <c r="T42">
        <v>0</v>
      </c>
    </row>
    <row r="43" spans="1:20" x14ac:dyDescent="0.25">
      <c r="A43" t="s">
        <v>67</v>
      </c>
      <c r="B43" t="s">
        <v>68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2</v>
      </c>
      <c r="R43">
        <v>5</v>
      </c>
      <c r="S43">
        <v>0</v>
      </c>
      <c r="T43">
        <v>0</v>
      </c>
    </row>
    <row r="44" spans="1:20" x14ac:dyDescent="0.25">
      <c r="A44" t="s">
        <v>69</v>
      </c>
      <c r="B44" t="s">
        <v>70</v>
      </c>
      <c r="C44">
        <v>3</v>
      </c>
      <c r="D44">
        <v>100</v>
      </c>
      <c r="E44">
        <v>0</v>
      </c>
      <c r="F44">
        <v>0</v>
      </c>
      <c r="G44">
        <v>22</v>
      </c>
      <c r="H44">
        <v>0</v>
      </c>
      <c r="I44">
        <v>0</v>
      </c>
      <c r="J44">
        <v>0</v>
      </c>
      <c r="K44">
        <v>0</v>
      </c>
      <c r="L44">
        <v>81</v>
      </c>
      <c r="M44">
        <v>293.82</v>
      </c>
      <c r="N44">
        <v>9794</v>
      </c>
      <c r="O44">
        <v>2431</v>
      </c>
      <c r="P44">
        <v>7933.14</v>
      </c>
      <c r="Q44" t="s">
        <v>2</v>
      </c>
      <c r="R44">
        <v>5</v>
      </c>
      <c r="S44">
        <v>2552.5500000000002</v>
      </c>
      <c r="T44">
        <v>0</v>
      </c>
    </row>
    <row r="45" spans="1:20" x14ac:dyDescent="0.25">
      <c r="A45" t="s">
        <v>71</v>
      </c>
      <c r="B45" t="s">
        <v>6</v>
      </c>
      <c r="C45">
        <v>1</v>
      </c>
      <c r="D45">
        <v>70</v>
      </c>
      <c r="E45">
        <v>0</v>
      </c>
      <c r="F45">
        <v>0</v>
      </c>
      <c r="G45">
        <v>64</v>
      </c>
      <c r="H45">
        <v>0</v>
      </c>
      <c r="I45">
        <v>0</v>
      </c>
      <c r="J45">
        <v>0</v>
      </c>
      <c r="K45">
        <v>0</v>
      </c>
      <c r="L45">
        <v>7</v>
      </c>
      <c r="M45">
        <v>151.96</v>
      </c>
      <c r="N45">
        <v>10637.2</v>
      </c>
      <c r="O45">
        <v>10970.88</v>
      </c>
      <c r="P45">
        <v>1063.72</v>
      </c>
      <c r="Q45" t="s">
        <v>2</v>
      </c>
      <c r="R45">
        <v>5</v>
      </c>
      <c r="S45">
        <v>11519.42</v>
      </c>
      <c r="T45">
        <v>0</v>
      </c>
    </row>
    <row r="46" spans="1:20" x14ac:dyDescent="0.25">
      <c r="A46" t="s">
        <v>72</v>
      </c>
      <c r="B46" t="s">
        <v>14</v>
      </c>
      <c r="C46">
        <v>33</v>
      </c>
      <c r="D46">
        <v>100</v>
      </c>
      <c r="E46">
        <v>0</v>
      </c>
      <c r="F46">
        <v>0</v>
      </c>
      <c r="G46">
        <v>32</v>
      </c>
      <c r="H46">
        <v>0</v>
      </c>
      <c r="I46">
        <v>0</v>
      </c>
      <c r="J46">
        <v>0</v>
      </c>
      <c r="K46">
        <v>0</v>
      </c>
      <c r="L46">
        <v>101</v>
      </c>
      <c r="M46">
        <v>6263.4</v>
      </c>
      <c r="N46">
        <v>18980</v>
      </c>
      <c r="O46">
        <v>6851.2</v>
      </c>
      <c r="P46">
        <v>19169.8</v>
      </c>
      <c r="Q46" t="s">
        <v>2</v>
      </c>
      <c r="R46">
        <v>5</v>
      </c>
      <c r="S46">
        <v>7193.76</v>
      </c>
      <c r="T46">
        <v>0</v>
      </c>
    </row>
    <row r="47" spans="1:20" x14ac:dyDescent="0.25">
      <c r="A47" t="s">
        <v>73</v>
      </c>
      <c r="B47" t="s">
        <v>74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2</v>
      </c>
      <c r="R47">
        <v>5</v>
      </c>
      <c r="S47">
        <v>0</v>
      </c>
      <c r="T47">
        <v>0</v>
      </c>
    </row>
    <row r="48" spans="1:20" x14ac:dyDescent="0.25">
      <c r="A48" t="s">
        <v>75</v>
      </c>
      <c r="B48" t="s">
        <v>12</v>
      </c>
      <c r="C48">
        <v>16</v>
      </c>
      <c r="D48">
        <v>0</v>
      </c>
      <c r="E48">
        <v>0</v>
      </c>
      <c r="F48">
        <v>0</v>
      </c>
      <c r="G48">
        <v>16</v>
      </c>
      <c r="H48">
        <v>0</v>
      </c>
      <c r="I48">
        <v>0</v>
      </c>
      <c r="J48">
        <v>0</v>
      </c>
      <c r="K48">
        <v>0</v>
      </c>
      <c r="L48">
        <v>0</v>
      </c>
      <c r="M48">
        <v>3169.12</v>
      </c>
      <c r="N48">
        <v>0</v>
      </c>
      <c r="O48">
        <v>4278.88</v>
      </c>
      <c r="P48">
        <v>0</v>
      </c>
      <c r="Q48" t="s">
        <v>2</v>
      </c>
      <c r="R48">
        <v>5</v>
      </c>
      <c r="S48">
        <v>4492.82</v>
      </c>
      <c r="T48">
        <v>0</v>
      </c>
    </row>
    <row r="49" spans="1:20" x14ac:dyDescent="0.25">
      <c r="A49" t="s">
        <v>76</v>
      </c>
      <c r="B49" t="s">
        <v>6</v>
      </c>
      <c r="C49">
        <v>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4</v>
      </c>
      <c r="M49">
        <v>536.28</v>
      </c>
      <c r="N49">
        <v>0</v>
      </c>
      <c r="O49">
        <v>0</v>
      </c>
      <c r="P49">
        <v>536.28</v>
      </c>
      <c r="Q49" t="s">
        <v>2</v>
      </c>
      <c r="R49">
        <v>5</v>
      </c>
      <c r="S49">
        <v>0</v>
      </c>
      <c r="T49">
        <v>0</v>
      </c>
    </row>
    <row r="50" spans="1:20" x14ac:dyDescent="0.25">
      <c r="A50" t="s">
        <v>77</v>
      </c>
      <c r="B50" t="s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2</v>
      </c>
      <c r="R50">
        <v>5</v>
      </c>
      <c r="S50">
        <v>0</v>
      </c>
      <c r="T50">
        <v>0</v>
      </c>
    </row>
    <row r="51" spans="1:20" x14ac:dyDescent="0.25">
      <c r="A51" t="s">
        <v>78</v>
      </c>
      <c r="B51" t="s">
        <v>14</v>
      </c>
      <c r="C51">
        <v>106</v>
      </c>
      <c r="D51">
        <v>0</v>
      </c>
      <c r="E51">
        <v>0</v>
      </c>
      <c r="F51">
        <v>0</v>
      </c>
      <c r="G51">
        <v>14</v>
      </c>
      <c r="H51">
        <v>0</v>
      </c>
      <c r="I51">
        <v>0</v>
      </c>
      <c r="J51">
        <v>0</v>
      </c>
      <c r="K51">
        <v>0</v>
      </c>
      <c r="L51">
        <v>92</v>
      </c>
      <c r="M51">
        <v>18113.28</v>
      </c>
      <c r="N51">
        <v>0</v>
      </c>
      <c r="O51">
        <v>2698.64</v>
      </c>
      <c r="P51">
        <v>15720.96</v>
      </c>
      <c r="Q51" t="s">
        <v>2</v>
      </c>
      <c r="R51">
        <v>5</v>
      </c>
      <c r="S51">
        <v>2833.57</v>
      </c>
      <c r="T51">
        <v>0</v>
      </c>
    </row>
    <row r="52" spans="1:20" x14ac:dyDescent="0.25">
      <c r="A52" t="s">
        <v>79</v>
      </c>
      <c r="B52" t="s">
        <v>80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2</v>
      </c>
      <c r="R52">
        <v>5</v>
      </c>
      <c r="S52">
        <v>0</v>
      </c>
      <c r="T52">
        <v>0</v>
      </c>
    </row>
    <row r="53" spans="1:20" x14ac:dyDescent="0.25">
      <c r="A53" t="s">
        <v>81</v>
      </c>
      <c r="B53" t="s">
        <v>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2</v>
      </c>
      <c r="R53">
        <v>5</v>
      </c>
      <c r="S53">
        <v>0</v>
      </c>
      <c r="T53">
        <v>0</v>
      </c>
    </row>
    <row r="54" spans="1:20" x14ac:dyDescent="0.25">
      <c r="A54" t="s">
        <v>82</v>
      </c>
      <c r="B54" t="s">
        <v>83</v>
      </c>
      <c r="C54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</v>
      </c>
      <c r="M54">
        <v>1389.6</v>
      </c>
      <c r="N54">
        <v>0</v>
      </c>
      <c r="O54">
        <v>0</v>
      </c>
      <c r="P54">
        <v>1389.6</v>
      </c>
      <c r="Q54" t="s">
        <v>2</v>
      </c>
      <c r="R54">
        <v>5</v>
      </c>
      <c r="S54">
        <v>0</v>
      </c>
      <c r="T54">
        <v>0</v>
      </c>
    </row>
    <row r="55" spans="1:20" x14ac:dyDescent="0.25">
      <c r="A55" t="s">
        <v>84</v>
      </c>
      <c r="B55" t="s">
        <v>12</v>
      </c>
      <c r="C55">
        <v>0</v>
      </c>
      <c r="D55">
        <v>28</v>
      </c>
      <c r="E55">
        <v>0</v>
      </c>
      <c r="F55">
        <v>0</v>
      </c>
      <c r="G55">
        <v>21</v>
      </c>
      <c r="H55">
        <v>0</v>
      </c>
      <c r="I55">
        <v>0</v>
      </c>
      <c r="J55">
        <v>0</v>
      </c>
      <c r="K55">
        <v>0</v>
      </c>
      <c r="L55">
        <v>7</v>
      </c>
      <c r="M55">
        <v>0</v>
      </c>
      <c r="N55">
        <v>4860.24</v>
      </c>
      <c r="O55">
        <v>4111.8</v>
      </c>
      <c r="P55">
        <v>1215.06</v>
      </c>
      <c r="Q55" t="s">
        <v>2</v>
      </c>
      <c r="R55">
        <v>5</v>
      </c>
      <c r="S55">
        <v>4317.3900000000003</v>
      </c>
      <c r="T55">
        <v>0</v>
      </c>
    </row>
    <row r="56" spans="1:20" x14ac:dyDescent="0.25">
      <c r="A56" t="s">
        <v>85</v>
      </c>
      <c r="B56" t="s">
        <v>14</v>
      </c>
      <c r="C56">
        <v>50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49</v>
      </c>
      <c r="M56">
        <v>5485</v>
      </c>
      <c r="N56">
        <v>0</v>
      </c>
      <c r="O56">
        <v>128.57</v>
      </c>
      <c r="P56">
        <v>5375.3</v>
      </c>
      <c r="Q56" t="s">
        <v>2</v>
      </c>
      <c r="R56">
        <v>5</v>
      </c>
      <c r="S56">
        <v>164.81</v>
      </c>
      <c r="T56">
        <v>0</v>
      </c>
    </row>
    <row r="57" spans="1:20" x14ac:dyDescent="0.25">
      <c r="A57" t="s">
        <v>86</v>
      </c>
      <c r="B57" t="s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2</v>
      </c>
      <c r="R57">
        <v>5</v>
      </c>
      <c r="S57">
        <v>0</v>
      </c>
      <c r="T57">
        <v>0</v>
      </c>
    </row>
    <row r="58" spans="1:20" x14ac:dyDescent="0.25">
      <c r="A58" t="s">
        <v>87</v>
      </c>
      <c r="B58" t="s">
        <v>88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2</v>
      </c>
      <c r="R58">
        <v>5</v>
      </c>
      <c r="S58">
        <v>0</v>
      </c>
      <c r="T58">
        <v>0</v>
      </c>
    </row>
    <row r="59" spans="1:20" x14ac:dyDescent="0.25">
      <c r="A59" t="s">
        <v>89</v>
      </c>
      <c r="B59" t="s">
        <v>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2</v>
      </c>
      <c r="R59">
        <v>5</v>
      </c>
      <c r="S59">
        <v>0</v>
      </c>
      <c r="T59">
        <v>0</v>
      </c>
    </row>
    <row r="60" spans="1:20" x14ac:dyDescent="0.25">
      <c r="A60" t="s">
        <v>90</v>
      </c>
      <c r="B60" t="s">
        <v>65</v>
      </c>
      <c r="C60">
        <v>117</v>
      </c>
      <c r="D60">
        <v>0</v>
      </c>
      <c r="E60">
        <v>0</v>
      </c>
      <c r="F60">
        <v>0</v>
      </c>
      <c r="G60">
        <v>54</v>
      </c>
      <c r="H60">
        <v>0</v>
      </c>
      <c r="I60">
        <v>0</v>
      </c>
      <c r="J60">
        <v>0</v>
      </c>
      <c r="K60">
        <v>0</v>
      </c>
      <c r="L60">
        <v>63</v>
      </c>
      <c r="M60">
        <v>11765.52</v>
      </c>
      <c r="N60">
        <v>0</v>
      </c>
      <c r="O60">
        <v>8270.1</v>
      </c>
      <c r="P60">
        <v>6335.28</v>
      </c>
      <c r="Q60" t="s">
        <v>2</v>
      </c>
      <c r="R60">
        <v>5</v>
      </c>
      <c r="S60">
        <v>8683.61</v>
      </c>
      <c r="T60">
        <v>0</v>
      </c>
    </row>
    <row r="61" spans="1:20" x14ac:dyDescent="0.25">
      <c r="A61" t="s">
        <v>91</v>
      </c>
      <c r="B61" t="s">
        <v>68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2</v>
      </c>
      <c r="R61">
        <v>5</v>
      </c>
      <c r="S61">
        <v>0</v>
      </c>
      <c r="T61">
        <v>0</v>
      </c>
    </row>
    <row r="62" spans="1:20" x14ac:dyDescent="0.25">
      <c r="A62" t="s">
        <v>92</v>
      </c>
      <c r="B62" t="s">
        <v>93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94</v>
      </c>
      <c r="R62">
        <v>5</v>
      </c>
      <c r="S62">
        <v>0</v>
      </c>
      <c r="T62">
        <v>0</v>
      </c>
    </row>
    <row r="63" spans="1:20" x14ac:dyDescent="0.25">
      <c r="A63" t="s">
        <v>95</v>
      </c>
      <c r="B63" t="s">
        <v>96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34</v>
      </c>
      <c r="R63">
        <v>5</v>
      </c>
      <c r="S63">
        <v>0</v>
      </c>
      <c r="T63">
        <v>0</v>
      </c>
    </row>
    <row r="64" spans="1:20" x14ac:dyDescent="0.25">
      <c r="A64" t="s">
        <v>97</v>
      </c>
      <c r="B64" t="s">
        <v>80</v>
      </c>
      <c r="C64">
        <v>29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29</v>
      </c>
      <c r="M64">
        <v>4866.2</v>
      </c>
      <c r="N64">
        <v>0</v>
      </c>
      <c r="O64">
        <v>0</v>
      </c>
      <c r="P64">
        <v>4866.2</v>
      </c>
      <c r="Q64" t="s">
        <v>2</v>
      </c>
      <c r="R64">
        <v>5</v>
      </c>
      <c r="S64">
        <v>0</v>
      </c>
      <c r="T64">
        <v>0</v>
      </c>
    </row>
    <row r="65" spans="1:20" x14ac:dyDescent="0.25">
      <c r="A65" t="s">
        <v>98</v>
      </c>
      <c r="B65" t="s">
        <v>83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2</v>
      </c>
      <c r="R65">
        <v>5</v>
      </c>
      <c r="S65">
        <v>0</v>
      </c>
      <c r="T65">
        <v>0</v>
      </c>
    </row>
    <row r="66" spans="1:20" x14ac:dyDescent="0.25">
      <c r="A66" t="s">
        <v>99</v>
      </c>
      <c r="B66" t="s">
        <v>12</v>
      </c>
      <c r="C66">
        <v>2</v>
      </c>
      <c r="D66">
        <v>56</v>
      </c>
      <c r="E66">
        <v>0</v>
      </c>
      <c r="F66">
        <v>0</v>
      </c>
      <c r="G66">
        <v>41</v>
      </c>
      <c r="H66">
        <v>0</v>
      </c>
      <c r="I66">
        <v>0</v>
      </c>
      <c r="J66">
        <v>0</v>
      </c>
      <c r="K66">
        <v>0</v>
      </c>
      <c r="L66">
        <v>17</v>
      </c>
      <c r="M66">
        <v>303.92</v>
      </c>
      <c r="N66">
        <v>8509.76</v>
      </c>
      <c r="O66">
        <v>7029.45</v>
      </c>
      <c r="P66">
        <v>2583.3200000000002</v>
      </c>
      <c r="Q66" t="s">
        <v>2</v>
      </c>
      <c r="R66">
        <v>5</v>
      </c>
      <c r="S66">
        <v>7380.92</v>
      </c>
      <c r="T66">
        <v>0</v>
      </c>
    </row>
    <row r="67" spans="1:20" x14ac:dyDescent="0.25">
      <c r="A67" t="s">
        <v>100</v>
      </c>
      <c r="B67" t="s">
        <v>22</v>
      </c>
      <c r="C67">
        <v>22</v>
      </c>
      <c r="D67">
        <v>0</v>
      </c>
      <c r="E67">
        <v>0</v>
      </c>
      <c r="F67">
        <v>0</v>
      </c>
      <c r="G67">
        <v>18</v>
      </c>
      <c r="H67">
        <v>0</v>
      </c>
      <c r="I67">
        <v>0</v>
      </c>
      <c r="J67">
        <v>0</v>
      </c>
      <c r="K67">
        <v>0</v>
      </c>
      <c r="L67">
        <v>4</v>
      </c>
      <c r="M67">
        <v>3818.76</v>
      </c>
      <c r="N67">
        <v>0</v>
      </c>
      <c r="O67">
        <v>3524.4</v>
      </c>
      <c r="P67">
        <v>694.32</v>
      </c>
      <c r="Q67" t="s">
        <v>2</v>
      </c>
      <c r="R67">
        <v>5</v>
      </c>
      <c r="S67">
        <v>3700.62</v>
      </c>
      <c r="T67">
        <v>0</v>
      </c>
    </row>
    <row r="68" spans="1:20" x14ac:dyDescent="0.25">
      <c r="A68" t="s">
        <v>101</v>
      </c>
      <c r="B68" t="s">
        <v>102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2</v>
      </c>
      <c r="R68">
        <v>5</v>
      </c>
      <c r="S68">
        <v>0</v>
      </c>
      <c r="T68">
        <v>0</v>
      </c>
    </row>
    <row r="69" spans="1:20" x14ac:dyDescent="0.25">
      <c r="A69" t="s">
        <v>103</v>
      </c>
      <c r="B69" t="s">
        <v>12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2</v>
      </c>
      <c r="R69">
        <v>5</v>
      </c>
      <c r="S69">
        <v>0</v>
      </c>
      <c r="T69">
        <v>0</v>
      </c>
    </row>
    <row r="70" spans="1:20" x14ac:dyDescent="0.25">
      <c r="A70" t="s">
        <v>104</v>
      </c>
      <c r="B70" t="s">
        <v>1</v>
      </c>
      <c r="C70">
        <v>35</v>
      </c>
      <c r="D70">
        <v>0</v>
      </c>
      <c r="E70">
        <v>0</v>
      </c>
      <c r="F70">
        <v>0</v>
      </c>
      <c r="G70">
        <v>2</v>
      </c>
      <c r="H70">
        <v>0</v>
      </c>
      <c r="I70">
        <v>0</v>
      </c>
      <c r="J70">
        <v>0</v>
      </c>
      <c r="K70">
        <v>0</v>
      </c>
      <c r="L70">
        <v>33</v>
      </c>
      <c r="M70">
        <v>7128.1</v>
      </c>
      <c r="N70">
        <v>0</v>
      </c>
      <c r="O70">
        <v>457.16</v>
      </c>
      <c r="P70">
        <v>6720.78</v>
      </c>
      <c r="Q70" t="s">
        <v>2</v>
      </c>
      <c r="R70">
        <v>5</v>
      </c>
      <c r="S70">
        <v>480.02</v>
      </c>
      <c r="T70">
        <v>0</v>
      </c>
    </row>
    <row r="71" spans="1:20" x14ac:dyDescent="0.25">
      <c r="A71" t="s">
        <v>105</v>
      </c>
      <c r="B71" t="s">
        <v>68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2</v>
      </c>
      <c r="R71">
        <v>5</v>
      </c>
      <c r="S71">
        <v>0</v>
      </c>
      <c r="T71">
        <v>0</v>
      </c>
    </row>
    <row r="72" spans="1:20" x14ac:dyDescent="0.25">
      <c r="A72" t="s">
        <v>106</v>
      </c>
      <c r="B72" t="s">
        <v>14</v>
      </c>
      <c r="C72">
        <v>8</v>
      </c>
      <c r="D72">
        <v>50</v>
      </c>
      <c r="E72">
        <v>0</v>
      </c>
      <c r="F72">
        <v>0</v>
      </c>
      <c r="G72">
        <v>10</v>
      </c>
      <c r="H72">
        <v>0</v>
      </c>
      <c r="I72">
        <v>0</v>
      </c>
      <c r="J72">
        <v>0</v>
      </c>
      <c r="K72">
        <v>0</v>
      </c>
      <c r="L72">
        <v>48</v>
      </c>
      <c r="M72">
        <v>1342.4</v>
      </c>
      <c r="N72">
        <v>8375.5</v>
      </c>
      <c r="O72">
        <v>1889.6</v>
      </c>
      <c r="P72">
        <v>8054.4</v>
      </c>
      <c r="Q72" t="s">
        <v>2</v>
      </c>
      <c r="R72">
        <v>5</v>
      </c>
      <c r="S72">
        <v>1984.08</v>
      </c>
      <c r="T72">
        <v>0</v>
      </c>
    </row>
    <row r="73" spans="1:20" x14ac:dyDescent="0.25">
      <c r="A73" t="s">
        <v>107</v>
      </c>
      <c r="B73" t="s">
        <v>108</v>
      </c>
      <c r="C73">
        <v>6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5</v>
      </c>
      <c r="M73">
        <v>680.82</v>
      </c>
      <c r="N73">
        <v>0</v>
      </c>
      <c r="O73">
        <v>128</v>
      </c>
      <c r="P73">
        <v>567.35</v>
      </c>
      <c r="Q73" t="s">
        <v>2</v>
      </c>
      <c r="R73">
        <v>5</v>
      </c>
      <c r="S73">
        <v>134.4</v>
      </c>
      <c r="T73">
        <v>0</v>
      </c>
    </row>
    <row r="74" spans="1:20" x14ac:dyDescent="0.25">
      <c r="A74" t="s">
        <v>109</v>
      </c>
      <c r="B74" t="s">
        <v>110</v>
      </c>
      <c r="C74">
        <v>25</v>
      </c>
      <c r="D74">
        <v>0</v>
      </c>
      <c r="E74">
        <v>0</v>
      </c>
      <c r="F74">
        <v>0</v>
      </c>
      <c r="G74">
        <v>5</v>
      </c>
      <c r="H74">
        <v>0</v>
      </c>
      <c r="I74">
        <v>0</v>
      </c>
      <c r="J74">
        <v>0</v>
      </c>
      <c r="K74">
        <v>0</v>
      </c>
      <c r="L74">
        <v>20</v>
      </c>
      <c r="M74">
        <v>2448.5</v>
      </c>
      <c r="N74">
        <v>0</v>
      </c>
      <c r="O74">
        <v>552.4</v>
      </c>
      <c r="P74">
        <v>1958.8</v>
      </c>
      <c r="Q74" t="s">
        <v>2</v>
      </c>
      <c r="R74">
        <v>5</v>
      </c>
      <c r="S74">
        <v>580.02</v>
      </c>
      <c r="T74">
        <v>0</v>
      </c>
    </row>
    <row r="75" spans="1:20" x14ac:dyDescent="0.25">
      <c r="A75" t="s">
        <v>111</v>
      </c>
      <c r="B75" t="s">
        <v>111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111</v>
      </c>
      <c r="R75">
        <v>0</v>
      </c>
      <c r="S75">
        <v>0</v>
      </c>
      <c r="T75">
        <v>0</v>
      </c>
    </row>
    <row r="76" spans="1:20" x14ac:dyDescent="0.25">
      <c r="A76" t="s">
        <v>111</v>
      </c>
      <c r="B76" t="s">
        <v>111</v>
      </c>
      <c r="C76">
        <v>847</v>
      </c>
      <c r="D76">
        <v>750</v>
      </c>
      <c r="E76">
        <v>0</v>
      </c>
      <c r="F76">
        <v>0</v>
      </c>
      <c r="G76">
        <v>717</v>
      </c>
      <c r="H76">
        <v>0</v>
      </c>
      <c r="I76">
        <v>0</v>
      </c>
      <c r="J76">
        <v>0</v>
      </c>
      <c r="K76">
        <v>0</v>
      </c>
      <c r="L76">
        <v>880</v>
      </c>
      <c r="M76">
        <v>114501.75999999999</v>
      </c>
      <c r="N76">
        <v>109508.88</v>
      </c>
      <c r="O76">
        <v>119382.62</v>
      </c>
      <c r="P76">
        <v>120953.8</v>
      </c>
      <c r="Q76" t="s">
        <v>111</v>
      </c>
      <c r="R76">
        <v>0</v>
      </c>
      <c r="S76">
        <v>0</v>
      </c>
      <c r="T76">
        <v>0</v>
      </c>
    </row>
    <row r="77" spans="1:20" x14ac:dyDescent="0.25">
      <c r="A77" t="s">
        <v>112</v>
      </c>
      <c r="B77" t="s">
        <v>111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111</v>
      </c>
      <c r="R77">
        <v>0</v>
      </c>
      <c r="S77">
        <v>0</v>
      </c>
      <c r="T77">
        <v>0</v>
      </c>
    </row>
    <row r="78" spans="1:20" x14ac:dyDescent="0.25">
      <c r="A78" t="s">
        <v>111</v>
      </c>
      <c r="B78" t="s">
        <v>111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111</v>
      </c>
      <c r="R78">
        <v>0</v>
      </c>
      <c r="S78">
        <v>0</v>
      </c>
      <c r="T78">
        <v>0</v>
      </c>
    </row>
    <row r="79" spans="1:20" x14ac:dyDescent="0.25">
      <c r="A79" t="s">
        <v>113</v>
      </c>
      <c r="B79" t="s">
        <v>111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111</v>
      </c>
      <c r="R79">
        <v>0</v>
      </c>
      <c r="S79">
        <v>0</v>
      </c>
      <c r="T79">
        <v>0</v>
      </c>
    </row>
    <row r="80" spans="1:20" x14ac:dyDescent="0.25">
      <c r="A80" t="s">
        <v>114</v>
      </c>
      <c r="B80" t="s">
        <v>111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111</v>
      </c>
      <c r="R80">
        <v>0</v>
      </c>
      <c r="S80">
        <v>0</v>
      </c>
      <c r="T80">
        <v>0</v>
      </c>
    </row>
    <row r="81" spans="1:20" x14ac:dyDescent="0.25">
      <c r="A81" t="s">
        <v>115</v>
      </c>
      <c r="B81" t="s">
        <v>111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111</v>
      </c>
      <c r="R81">
        <v>0</v>
      </c>
      <c r="S81">
        <v>0</v>
      </c>
      <c r="T81">
        <v>0</v>
      </c>
    </row>
    <row r="82" spans="1:20" x14ac:dyDescent="0.25">
      <c r="A82" t="s">
        <v>116</v>
      </c>
      <c r="B82" t="s">
        <v>111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111</v>
      </c>
      <c r="R82">
        <v>0</v>
      </c>
      <c r="S82">
        <v>0</v>
      </c>
      <c r="T82">
        <v>0</v>
      </c>
    </row>
    <row r="83" spans="1:20" x14ac:dyDescent="0.25">
      <c r="A83" t="s">
        <v>117</v>
      </c>
      <c r="B83" t="s">
        <v>111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111</v>
      </c>
      <c r="R83">
        <v>0</v>
      </c>
      <c r="S83">
        <v>0</v>
      </c>
      <c r="T83">
        <v>0</v>
      </c>
    </row>
    <row r="84" spans="1:20" x14ac:dyDescent="0.25">
      <c r="A84" t="s">
        <v>118</v>
      </c>
      <c r="B84" t="s">
        <v>111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111</v>
      </c>
      <c r="R84">
        <v>0</v>
      </c>
      <c r="S84">
        <v>0</v>
      </c>
      <c r="T84">
        <v>0</v>
      </c>
    </row>
    <row r="85" spans="1:20" x14ac:dyDescent="0.25">
      <c r="A85" t="s">
        <v>119</v>
      </c>
      <c r="B85" t="s">
        <v>111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111</v>
      </c>
      <c r="R85">
        <v>0</v>
      </c>
      <c r="S85">
        <v>0</v>
      </c>
      <c r="T85">
        <v>0</v>
      </c>
    </row>
    <row r="86" spans="1:20" x14ac:dyDescent="0.25">
      <c r="A86" t="s">
        <v>120</v>
      </c>
      <c r="B86" t="s">
        <v>111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111</v>
      </c>
      <c r="R86">
        <v>0</v>
      </c>
      <c r="S86">
        <v>0</v>
      </c>
      <c r="T86">
        <v>0</v>
      </c>
    </row>
    <row r="87" spans="1:20" x14ac:dyDescent="0.25">
      <c r="A87" t="s">
        <v>111</v>
      </c>
      <c r="B87" t="s">
        <v>111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111</v>
      </c>
      <c r="R87">
        <v>0</v>
      </c>
      <c r="S87">
        <v>0</v>
      </c>
      <c r="T87">
        <v>0</v>
      </c>
    </row>
    <row r="90" spans="1:20" x14ac:dyDescent="0.25">
      <c r="A90" s="4" t="s">
        <v>127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20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20" x14ac:dyDescent="0.25">
      <c r="A92" s="1" t="s">
        <v>128</v>
      </c>
      <c r="B92" s="1" t="s">
        <v>129</v>
      </c>
      <c r="C92" s="1" t="s">
        <v>130</v>
      </c>
      <c r="D92" s="1" t="s">
        <v>131</v>
      </c>
      <c r="E92" s="1" t="s">
        <v>132</v>
      </c>
      <c r="F92" s="1" t="s">
        <v>133</v>
      </c>
      <c r="G92" s="1" t="s">
        <v>134</v>
      </c>
      <c r="H92" s="1" t="s">
        <v>135</v>
      </c>
      <c r="I92" s="1" t="s">
        <v>136</v>
      </c>
      <c r="J92" s="1" t="s">
        <v>137</v>
      </c>
      <c r="K92" s="1" t="s">
        <v>138</v>
      </c>
      <c r="L92" s="1" t="s">
        <v>139</v>
      </c>
      <c r="M92" s="1" t="s">
        <v>140</v>
      </c>
    </row>
    <row r="93" spans="1:20" x14ac:dyDescent="0.25">
      <c r="A93">
        <v>1</v>
      </c>
      <c r="B93" t="s">
        <v>141</v>
      </c>
      <c r="C93" t="s">
        <v>142</v>
      </c>
      <c r="D93" t="s">
        <v>143</v>
      </c>
      <c r="E93" t="s">
        <v>144</v>
      </c>
      <c r="F93" t="s">
        <v>145</v>
      </c>
      <c r="G93" t="s">
        <v>146</v>
      </c>
      <c r="H93">
        <v>2283</v>
      </c>
      <c r="I93">
        <v>2283</v>
      </c>
      <c r="J93">
        <v>0</v>
      </c>
      <c r="K93">
        <v>773</v>
      </c>
      <c r="L93">
        <v>1160.3900000000001</v>
      </c>
      <c r="M93" t="s">
        <v>147</v>
      </c>
    </row>
    <row r="94" spans="1:20" x14ac:dyDescent="0.25">
      <c r="A94">
        <v>2</v>
      </c>
      <c r="B94" t="s">
        <v>148</v>
      </c>
      <c r="C94" t="s">
        <v>142</v>
      </c>
      <c r="D94" s="2">
        <v>45545</v>
      </c>
      <c r="E94" t="s">
        <v>149</v>
      </c>
      <c r="F94" t="s">
        <v>150</v>
      </c>
      <c r="G94" t="s">
        <v>151</v>
      </c>
      <c r="H94">
        <v>2476</v>
      </c>
      <c r="I94">
        <v>2476</v>
      </c>
      <c r="J94">
        <v>0</v>
      </c>
      <c r="K94">
        <v>720</v>
      </c>
      <c r="L94">
        <v>1172.2</v>
      </c>
      <c r="M94" t="s">
        <v>147</v>
      </c>
    </row>
    <row r="95" spans="1:20" x14ac:dyDescent="0.25">
      <c r="A95">
        <v>3</v>
      </c>
      <c r="B95">
        <v>1274</v>
      </c>
      <c r="C95" t="s">
        <v>142</v>
      </c>
      <c r="D95" s="2">
        <v>46270</v>
      </c>
      <c r="E95" t="s">
        <v>152</v>
      </c>
      <c r="F95" t="s">
        <v>153</v>
      </c>
      <c r="G95" t="s">
        <v>154</v>
      </c>
      <c r="H95">
        <v>7198</v>
      </c>
      <c r="I95">
        <v>3500</v>
      </c>
      <c r="J95">
        <v>3698</v>
      </c>
      <c r="K95">
        <v>143</v>
      </c>
      <c r="L95">
        <v>329.1</v>
      </c>
      <c r="M95" t="s">
        <v>147</v>
      </c>
    </row>
    <row r="96" spans="1:20" x14ac:dyDescent="0.25">
      <c r="A96">
        <v>4</v>
      </c>
      <c r="B96">
        <v>2858</v>
      </c>
      <c r="C96" t="s">
        <v>142</v>
      </c>
      <c r="D96" t="s">
        <v>155</v>
      </c>
      <c r="E96" t="s">
        <v>156</v>
      </c>
      <c r="F96" t="s">
        <v>157</v>
      </c>
      <c r="G96" t="s">
        <v>158</v>
      </c>
      <c r="H96">
        <v>4195</v>
      </c>
      <c r="I96">
        <v>4195</v>
      </c>
      <c r="J96">
        <v>0</v>
      </c>
      <c r="K96">
        <v>95</v>
      </c>
      <c r="L96">
        <v>262.04000000000002</v>
      </c>
      <c r="M96" t="s">
        <v>147</v>
      </c>
    </row>
    <row r="97" spans="1:13" x14ac:dyDescent="0.25">
      <c r="A97">
        <v>5</v>
      </c>
      <c r="B97">
        <v>6956</v>
      </c>
      <c r="C97" t="s">
        <v>142</v>
      </c>
      <c r="D97" t="s">
        <v>159</v>
      </c>
      <c r="E97" t="s">
        <v>160</v>
      </c>
      <c r="F97" t="s">
        <v>161</v>
      </c>
      <c r="G97" t="s">
        <v>162</v>
      </c>
      <c r="H97">
        <v>1573</v>
      </c>
      <c r="I97">
        <v>1573</v>
      </c>
      <c r="J97">
        <v>0</v>
      </c>
      <c r="K97">
        <v>1</v>
      </c>
      <c r="L97">
        <v>1.03</v>
      </c>
      <c r="M97" t="s">
        <v>147</v>
      </c>
    </row>
    <row r="107" spans="1:13" x14ac:dyDescent="0.25">
      <c r="A107" s="4" t="s">
        <v>163</v>
      </c>
      <c r="B107" s="4"/>
      <c r="C107" s="4"/>
      <c r="D107" s="4"/>
      <c r="E107" s="4"/>
      <c r="F107" s="4"/>
      <c r="G107" s="4"/>
      <c r="H107" s="4"/>
      <c r="I107" s="4"/>
    </row>
    <row r="108" spans="1:13" x14ac:dyDescent="0.25">
      <c r="A108" s="4"/>
      <c r="B108" s="4"/>
      <c r="C108" s="4"/>
      <c r="D108" s="4"/>
      <c r="E108" s="4"/>
      <c r="F108" s="4"/>
      <c r="G108" s="4"/>
      <c r="H108" s="4"/>
      <c r="I108" s="4"/>
    </row>
    <row r="109" spans="1:13" x14ac:dyDescent="0.25">
      <c r="A109" s="1" t="s">
        <v>128</v>
      </c>
      <c r="B109" s="1" t="s">
        <v>164</v>
      </c>
      <c r="C109" s="1" t="s">
        <v>165</v>
      </c>
      <c r="D109" s="1" t="s">
        <v>166</v>
      </c>
      <c r="E109" s="1" t="s">
        <v>167</v>
      </c>
      <c r="F109" s="1" t="s">
        <v>168</v>
      </c>
      <c r="G109" s="1" t="s">
        <v>169</v>
      </c>
      <c r="H109" s="1" t="s">
        <v>170</v>
      </c>
      <c r="I109" s="1" t="s">
        <v>171</v>
      </c>
    </row>
    <row r="110" spans="1:13" x14ac:dyDescent="0.25">
      <c r="A110">
        <v>1</v>
      </c>
      <c r="B110" t="s">
        <v>172</v>
      </c>
      <c r="C110" t="s">
        <v>173</v>
      </c>
      <c r="D110" t="s">
        <v>174</v>
      </c>
      <c r="E110" t="s">
        <v>175</v>
      </c>
      <c r="F110" s="2">
        <v>46173</v>
      </c>
      <c r="G110">
        <v>347.4</v>
      </c>
      <c r="H110">
        <v>4</v>
      </c>
      <c r="I110">
        <v>1389.6</v>
      </c>
    </row>
    <row r="111" spans="1:13" x14ac:dyDescent="0.25">
      <c r="A111">
        <v>2</v>
      </c>
      <c r="B111" t="s">
        <v>176</v>
      </c>
      <c r="C111" t="s">
        <v>177</v>
      </c>
      <c r="D111" t="s">
        <v>174</v>
      </c>
      <c r="E111" t="s">
        <v>178</v>
      </c>
      <c r="F111" s="2">
        <v>46203</v>
      </c>
      <c r="G111">
        <v>134.07</v>
      </c>
      <c r="H111">
        <v>4</v>
      </c>
      <c r="I111">
        <v>536.28</v>
      </c>
    </row>
    <row r="114" spans="7:9" x14ac:dyDescent="0.25">
      <c r="G114" t="s">
        <v>179</v>
      </c>
      <c r="I114">
        <v>1925.8799999999999</v>
      </c>
    </row>
  </sheetData>
  <mergeCells count="10">
    <mergeCell ref="A107:I107"/>
    <mergeCell ref="A108:I108"/>
    <mergeCell ref="A6:T6"/>
    <mergeCell ref="A90:M90"/>
    <mergeCell ref="A91:M91"/>
    <mergeCell ref="A1:T1"/>
    <mergeCell ref="A2:T2"/>
    <mergeCell ref="A3:T3"/>
    <mergeCell ref="A4:T4"/>
    <mergeCell ref="A5: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XLS2615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2026-09-30T14:51:12Z</dcterms:created>
  <dcterms:modified xsi:type="dcterms:W3CDTF">2026-09-30T14:51:15Z</dcterms:modified>
</cp:coreProperties>
</file>