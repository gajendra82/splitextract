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ERVER\Documents\"/>
    </mc:Choice>
  </mc:AlternateContent>
  <xr:revisionPtr revIDLastSave="0" documentId="8_{606BB138-C6F3-D74A-A244-C8235EA67D8D}" xr6:coauthVersionLast="47" xr6:coauthVersionMax="47" xr10:uidLastSave="{00000000-0000-0000-0000-000000000000}"/>
  <bookViews>
    <workbookView xWindow="0" yWindow="0" windowWidth="15270" windowHeight="67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8" i="1" l="1"/>
  <c r="P88" i="1"/>
  <c r="O88" i="1"/>
  <c r="N88" i="1"/>
</calcChain>
</file>

<file path=xl/sharedStrings.xml><?xml version="1.0" encoding="utf-8"?>
<sst xmlns="http://schemas.openxmlformats.org/spreadsheetml/2006/main" count="265" uniqueCount="127">
  <si>
    <t>MARUTI AYURVED AGENCY</t>
  </si>
  <si>
    <t>SH.NO.45,46,KUNAL PLAZA,C WING,</t>
  </si>
  <si>
    <t>CHINCHWAD STATION,CHINCHWAD</t>
  </si>
  <si>
    <t>Stock and Sale for Company: HIMALAYA           Press &lt;HOME&gt; To View Company Details</t>
  </si>
  <si>
    <t>From 01/09/2026 to 30/09/2026</t>
  </si>
  <si>
    <t>Product</t>
  </si>
  <si>
    <t>Pack</t>
  </si>
  <si>
    <t>Op.Stk.</t>
  </si>
  <si>
    <t>Purch.</t>
  </si>
  <si>
    <t>PuScm</t>
  </si>
  <si>
    <t>GD In</t>
  </si>
  <si>
    <t>Total</t>
  </si>
  <si>
    <t>Sale</t>
  </si>
  <si>
    <t>PTS Sl</t>
  </si>
  <si>
    <t>Trfr Out</t>
  </si>
  <si>
    <t>GD OUT</t>
  </si>
  <si>
    <t>Sl Scm</t>
  </si>
  <si>
    <t>Cl Stk</t>
  </si>
  <si>
    <t>Purch Val</t>
  </si>
  <si>
    <t>Sale Val</t>
  </si>
  <si>
    <t>PTS SL VAL</t>
  </si>
  <si>
    <t>Stock Val</t>
  </si>
  <si>
    <t>Sap Code</t>
  </si>
  <si>
    <t>Near Exp</t>
  </si>
  <si>
    <t xml:space="preserve">ANTISEPTIC CREAM              </t>
  </si>
  <si>
    <t xml:space="preserve">20GM  </t>
  </si>
  <si>
    <t xml:space="preserve">                              </t>
  </si>
  <si>
    <t xml:space="preserve">ARJUNA TAB                    </t>
  </si>
  <si>
    <t xml:space="preserve">60TAB </t>
  </si>
  <si>
    <t xml:space="preserve">ASHWAGANDHA CAP BIG           </t>
  </si>
  <si>
    <t>120TAB</t>
  </si>
  <si>
    <t xml:space="preserve">BONNISAN DROP                 </t>
  </si>
  <si>
    <t xml:space="preserve">30ML  </t>
  </si>
  <si>
    <t xml:space="preserve">BONNISAN SYRAP                </t>
  </si>
  <si>
    <t xml:space="preserve">120ML </t>
  </si>
  <si>
    <t xml:space="preserve">BONNISAN SYRUP                </t>
  </si>
  <si>
    <t xml:space="preserve">200ML </t>
  </si>
  <si>
    <t xml:space="preserve">BONNISPAZ DROP                </t>
  </si>
  <si>
    <t xml:space="preserve">15ML  </t>
  </si>
  <si>
    <t xml:space="preserve">BRESOL SYRUP                  </t>
  </si>
  <si>
    <t xml:space="preserve">100ML </t>
  </si>
  <si>
    <t xml:space="preserve">BRESOL TAB                    </t>
  </si>
  <si>
    <t xml:space="preserve">CLARINA KIT                   </t>
  </si>
  <si>
    <t xml:space="preserve">KIT   </t>
  </si>
  <si>
    <t xml:space="preserve">CYSTONE FORTE TAB             </t>
  </si>
  <si>
    <t xml:space="preserve">30TAB </t>
  </si>
  <si>
    <t xml:space="preserve">CYSTONE SYRUP                 </t>
  </si>
  <si>
    <t>100 ML</t>
  </si>
  <si>
    <t xml:space="preserve">CYSTONE TAB                   </t>
  </si>
  <si>
    <t xml:space="preserve">DIAKOF SYRUP                  </t>
  </si>
  <si>
    <t xml:space="preserve">EVECARE FORTE SYRUP           </t>
  </si>
  <si>
    <t xml:space="preserve">EVECARE FORTE TAB             </t>
  </si>
  <si>
    <t xml:space="preserve">10TAB </t>
  </si>
  <si>
    <t xml:space="preserve">EVECARE SYRUP                 </t>
  </si>
  <si>
    <t xml:space="preserve">400ML </t>
  </si>
  <si>
    <t xml:space="preserve">EVECARE TAB                   </t>
  </si>
  <si>
    <t xml:space="preserve">FOOTCARE CREAM                </t>
  </si>
  <si>
    <t xml:space="preserve">50GM  </t>
  </si>
  <si>
    <t xml:space="preserve">GERIFORTE                     </t>
  </si>
  <si>
    <t xml:space="preserve">GERIFORTE SYRUP               </t>
  </si>
  <si>
    <t xml:space="preserve">HIM.ANTI HAIR LOSS CREAM      </t>
  </si>
  <si>
    <t xml:space="preserve">50ML  </t>
  </si>
  <si>
    <t xml:space="preserve">HIMA PURE HANDS               </t>
  </si>
  <si>
    <t xml:space="preserve">500ML </t>
  </si>
  <si>
    <t xml:space="preserve">HIMA PURE HANDS-ADCANCED      </t>
  </si>
  <si>
    <t xml:space="preserve">HIMCOSPAZ SOFT CAP            </t>
  </si>
  <si>
    <t>10 CAP</t>
  </si>
  <si>
    <t xml:space="preserve">HIMPLASIA TAB                 </t>
  </si>
  <si>
    <t xml:space="preserve">HIORA REGULAR M-W             </t>
  </si>
  <si>
    <t xml:space="preserve">150ML </t>
  </si>
  <si>
    <t xml:space="preserve">HIORA SG                      </t>
  </si>
  <si>
    <t xml:space="preserve">10GM  </t>
  </si>
  <si>
    <t xml:space="preserve">HIORA TOOTHPAST               </t>
  </si>
  <si>
    <t xml:space="preserve">HIORA-K SENSIT M -W           </t>
  </si>
  <si>
    <t xml:space="preserve">HIORA-K TOOTHPASTE            </t>
  </si>
  <si>
    <t xml:space="preserve">HIOWNA ADULT                  </t>
  </si>
  <si>
    <t xml:space="preserve">200GM </t>
  </si>
  <si>
    <t xml:space="preserve">HIOWNA KIDZ CHO.              </t>
  </si>
  <si>
    <t xml:space="preserve">400GM </t>
  </si>
  <si>
    <t xml:space="preserve">HIOWNA KIDZ CHOCO             </t>
  </si>
  <si>
    <t xml:space="preserve">HIOWNA KIDZ STRAW..           </t>
  </si>
  <si>
    <t xml:space="preserve">HIOWNA KIDZ VANILA            </t>
  </si>
  <si>
    <t xml:space="preserve">HIOWNA MOMZ CHOKLET           </t>
  </si>
  <si>
    <t xml:space="preserve">HIOWNA MOMZ VANILA            </t>
  </si>
  <si>
    <t xml:space="preserve">HIOWNA VANILA ADULT           </t>
  </si>
  <si>
    <t xml:space="preserve">KARELA                        </t>
  </si>
  <si>
    <t xml:space="preserve">60CAP </t>
  </si>
  <si>
    <t xml:space="preserve">KOFLET H HOT DRINK            </t>
  </si>
  <si>
    <t>1X10PC</t>
  </si>
  <si>
    <t xml:space="preserve">KOKOFLET -H LEMON             </t>
  </si>
  <si>
    <t>6X10TA</t>
  </si>
  <si>
    <t xml:space="preserve">LASHUNA CAP                   </t>
  </si>
  <si>
    <t xml:space="preserve">LIV 52 DROP                   </t>
  </si>
  <si>
    <t xml:space="preserve">60ML  </t>
  </si>
  <si>
    <t xml:space="preserve">LIV 52 DS                     </t>
  </si>
  <si>
    <t xml:space="preserve">LIV 52 DS SYRAP               </t>
  </si>
  <si>
    <t xml:space="preserve">LIV 52 DS SYRUP               </t>
  </si>
  <si>
    <t xml:space="preserve">LIV 52 SYRUP (SUGAR FREE)     </t>
  </si>
  <si>
    <t xml:space="preserve">LUKOL SYRUP                   </t>
  </si>
  <si>
    <t xml:space="preserve">LUKOL TAB                     </t>
  </si>
  <si>
    <t xml:space="preserve">MENOSAN TAB                   </t>
  </si>
  <si>
    <t xml:space="preserve">MENTAT DS SYRUP               </t>
  </si>
  <si>
    <t xml:space="preserve">MENTAT SYRUP                  </t>
  </si>
  <si>
    <t xml:space="preserve">MENTAT TAB                    </t>
  </si>
  <si>
    <t xml:space="preserve">MESHASHRINGI CAP.             </t>
  </si>
  <si>
    <t xml:space="preserve">PARTYSMART CAP                </t>
  </si>
  <si>
    <t xml:space="preserve">5CAP  </t>
  </si>
  <si>
    <t xml:space="preserve">PLATENZA SYP                  </t>
  </si>
  <si>
    <t xml:space="preserve">PLATENZA TAB                  </t>
  </si>
  <si>
    <t xml:space="preserve">20TAB </t>
  </si>
  <si>
    <t xml:space="preserve">PUNARNAVA CAP                 </t>
  </si>
  <si>
    <t xml:space="preserve">QUISTA KIDS CHO.              </t>
  </si>
  <si>
    <t xml:space="preserve">REOSTO                        </t>
  </si>
  <si>
    <t>30 TAB</t>
  </si>
  <si>
    <t xml:space="preserve">RUMALAYA PAIN BALM            </t>
  </si>
  <si>
    <t xml:space="preserve">45GM  </t>
  </si>
  <si>
    <t xml:space="preserve">SEPTILIN DROPS                </t>
  </si>
  <si>
    <t xml:space="preserve">SEPTILIN SYRUP                </t>
  </si>
  <si>
    <t xml:space="preserve">SEPTILIN TAB                  </t>
  </si>
  <si>
    <t xml:space="preserve">SHATAVARI SYRUP               </t>
  </si>
  <si>
    <t xml:space="preserve">SHATAVARI TAB                 </t>
  </si>
  <si>
    <t xml:space="preserve">SHUDDHA GUGGULU               </t>
  </si>
  <si>
    <t xml:space="preserve">SPEMAN TAB                    </t>
  </si>
  <si>
    <t xml:space="preserve">STYPLON TAB                   </t>
  </si>
  <si>
    <t xml:space="preserve">TRIPHALA SYP                  </t>
  </si>
  <si>
    <t xml:space="preserve">V-GEL OINTMENT                </t>
  </si>
  <si>
    <t xml:space="preserve">30GM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</si>
</sst>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FF804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3" fillId="0" borderId="0" xfId="0" applyFont="1" applyAlignment="1">
      <alignment horizontal="centerContinuous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8"/>
  <sheetViews>
    <sheetView showZeros="0" tabSelected="1" workbookViewId="0"/>
  </sheetViews>
  <sheetFormatPr defaultRowHeight="15" x14ac:dyDescent="0.2"/>
  <cols>
    <col min="1" max="1" width="31.4765625" bestFit="1" customWidth="1"/>
    <col min="2" max="3" width="7.3984375" bestFit="1" customWidth="1"/>
    <col min="4" max="4" width="6.58984375" bestFit="1" customWidth="1"/>
    <col min="5" max="5" width="6.859375" bestFit="1" customWidth="1"/>
    <col min="6" max="6" width="5.91796875" bestFit="1" customWidth="1"/>
    <col min="7" max="7" width="5.37890625" bestFit="1" customWidth="1"/>
    <col min="8" max="8" width="4.70703125" bestFit="1" customWidth="1"/>
    <col min="9" max="9" width="6.1875" bestFit="1" customWidth="1"/>
    <col min="10" max="10" width="7.80078125" bestFit="1" customWidth="1"/>
    <col min="11" max="11" width="7.93359375" bestFit="1" customWidth="1"/>
    <col min="12" max="12" width="6.58984375" bestFit="1" customWidth="1"/>
    <col min="13" max="13" width="5.91796875" bestFit="1" customWidth="1"/>
    <col min="14" max="15" width="9.953125" bestFit="1" customWidth="1"/>
    <col min="16" max="16" width="10.22265625" bestFit="1" customWidth="1"/>
    <col min="17" max="17" width="9.953125" bestFit="1" customWidth="1"/>
    <col min="18" max="18" width="13.98828125" bestFit="1" customWidth="1"/>
    <col min="19" max="19" width="8.875" bestFit="1" customWidth="1"/>
  </cols>
  <sheetData>
    <row r="1" spans="1:19" ht="19.5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2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x14ac:dyDescent="0.2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  <c r="O6" s="2" t="s">
        <v>19</v>
      </c>
      <c r="P6" s="2" t="s">
        <v>20</v>
      </c>
      <c r="Q6" s="2" t="s">
        <v>21</v>
      </c>
      <c r="R6" s="2" t="s">
        <v>22</v>
      </c>
      <c r="S6" s="2" t="s">
        <v>23</v>
      </c>
    </row>
    <row r="7" spans="1:19" x14ac:dyDescent="0.2">
      <c r="A7" s="1" t="s">
        <v>24</v>
      </c>
      <c r="B7" s="1" t="s">
        <v>25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40.909999999999997</v>
      </c>
      <c r="R7" s="1" t="s">
        <v>26</v>
      </c>
      <c r="S7">
        <v>1</v>
      </c>
    </row>
    <row r="8" spans="1:19" x14ac:dyDescent="0.2">
      <c r="A8" s="1" t="s">
        <v>27</v>
      </c>
      <c r="B8" s="1" t="s">
        <v>28</v>
      </c>
      <c r="C8">
        <v>8</v>
      </c>
      <c r="D8">
        <v>0</v>
      </c>
      <c r="E8">
        <v>0</v>
      </c>
      <c r="F8">
        <v>0</v>
      </c>
      <c r="G8">
        <v>8</v>
      </c>
      <c r="H8">
        <v>5</v>
      </c>
      <c r="I8">
        <v>0</v>
      </c>
      <c r="J8">
        <v>0</v>
      </c>
      <c r="K8">
        <v>0</v>
      </c>
      <c r="L8">
        <v>0</v>
      </c>
      <c r="M8">
        <v>3</v>
      </c>
      <c r="N8">
        <v>0</v>
      </c>
      <c r="O8">
        <v>1238.0999999999999</v>
      </c>
      <c r="P8">
        <v>0</v>
      </c>
      <c r="Q8">
        <v>661.89</v>
      </c>
      <c r="R8" s="1" t="s">
        <v>26</v>
      </c>
      <c r="S8">
        <v>0</v>
      </c>
    </row>
    <row r="9" spans="1:19" x14ac:dyDescent="0.2">
      <c r="A9" s="1" t="s">
        <v>29</v>
      </c>
      <c r="B9" s="1" t="s">
        <v>30</v>
      </c>
      <c r="C9">
        <v>0</v>
      </c>
      <c r="D9">
        <v>10</v>
      </c>
      <c r="E9">
        <v>0</v>
      </c>
      <c r="F9">
        <v>0</v>
      </c>
      <c r="G9">
        <v>10</v>
      </c>
      <c r="H9">
        <v>6</v>
      </c>
      <c r="I9">
        <v>0</v>
      </c>
      <c r="J9">
        <v>0</v>
      </c>
      <c r="K9">
        <v>0</v>
      </c>
      <c r="L9">
        <v>0</v>
      </c>
      <c r="M9">
        <v>4</v>
      </c>
      <c r="N9">
        <v>2898.9</v>
      </c>
      <c r="O9">
        <v>2195.4</v>
      </c>
      <c r="P9">
        <v>0</v>
      </c>
      <c r="Q9">
        <v>1159.56</v>
      </c>
      <c r="R9" s="1" t="s">
        <v>26</v>
      </c>
      <c r="S9">
        <v>0</v>
      </c>
    </row>
    <row r="10" spans="1:19" x14ac:dyDescent="0.2">
      <c r="A10" s="1" t="s">
        <v>31</v>
      </c>
      <c r="B10" s="1" t="s">
        <v>32</v>
      </c>
      <c r="C10">
        <v>25</v>
      </c>
      <c r="D10">
        <v>0</v>
      </c>
      <c r="E10">
        <v>0</v>
      </c>
      <c r="F10">
        <v>0</v>
      </c>
      <c r="G10">
        <v>25</v>
      </c>
      <c r="H10">
        <v>11</v>
      </c>
      <c r="I10">
        <v>0</v>
      </c>
      <c r="J10">
        <v>0</v>
      </c>
      <c r="K10">
        <v>0</v>
      </c>
      <c r="L10">
        <v>0</v>
      </c>
      <c r="M10">
        <v>14</v>
      </c>
      <c r="N10">
        <v>0</v>
      </c>
      <c r="O10">
        <v>825</v>
      </c>
      <c r="P10">
        <v>0</v>
      </c>
      <c r="Q10">
        <v>926.66</v>
      </c>
      <c r="R10" s="1" t="s">
        <v>26</v>
      </c>
      <c r="S10">
        <v>0</v>
      </c>
    </row>
    <row r="11" spans="1:19" x14ac:dyDescent="0.2">
      <c r="A11" s="1" t="s">
        <v>33</v>
      </c>
      <c r="B11" s="1" t="s">
        <v>34</v>
      </c>
      <c r="C11">
        <v>46</v>
      </c>
      <c r="D11">
        <v>0</v>
      </c>
      <c r="E11">
        <v>0</v>
      </c>
      <c r="F11">
        <v>0</v>
      </c>
      <c r="G11">
        <v>46</v>
      </c>
      <c r="H11">
        <v>17</v>
      </c>
      <c r="I11">
        <v>0</v>
      </c>
      <c r="J11">
        <v>0</v>
      </c>
      <c r="K11">
        <v>0</v>
      </c>
      <c r="L11">
        <v>0</v>
      </c>
      <c r="M11">
        <v>29</v>
      </c>
      <c r="N11">
        <v>0</v>
      </c>
      <c r="O11">
        <v>1152.5999999999999</v>
      </c>
      <c r="P11">
        <v>0</v>
      </c>
      <c r="Q11">
        <v>1742.9</v>
      </c>
      <c r="R11" s="1" t="s">
        <v>26</v>
      </c>
      <c r="S11">
        <v>0</v>
      </c>
    </row>
    <row r="12" spans="1:19" x14ac:dyDescent="0.2">
      <c r="A12" s="1" t="s">
        <v>35</v>
      </c>
      <c r="B12" s="1" t="s">
        <v>36</v>
      </c>
      <c r="C12">
        <v>16</v>
      </c>
      <c r="D12">
        <v>0</v>
      </c>
      <c r="E12">
        <v>0</v>
      </c>
      <c r="F12">
        <v>0</v>
      </c>
      <c r="G12">
        <v>16</v>
      </c>
      <c r="H12">
        <v>0</v>
      </c>
      <c r="I12">
        <v>0</v>
      </c>
      <c r="J12">
        <v>0</v>
      </c>
      <c r="K12">
        <v>0</v>
      </c>
      <c r="L12">
        <v>0</v>
      </c>
      <c r="M12">
        <v>16</v>
      </c>
      <c r="N12">
        <v>0</v>
      </c>
      <c r="O12">
        <v>0</v>
      </c>
      <c r="P12">
        <v>0</v>
      </c>
      <c r="Q12">
        <v>1620.96</v>
      </c>
      <c r="R12" s="1" t="s">
        <v>26</v>
      </c>
      <c r="S12">
        <v>0</v>
      </c>
    </row>
    <row r="13" spans="1:19" x14ac:dyDescent="0.2">
      <c r="A13" s="1" t="s">
        <v>37</v>
      </c>
      <c r="B13" s="1" t="s">
        <v>38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s="1" t="s">
        <v>26</v>
      </c>
      <c r="S13">
        <v>0</v>
      </c>
    </row>
    <row r="14" spans="1:19" x14ac:dyDescent="0.2">
      <c r="A14" s="1" t="s">
        <v>39</v>
      </c>
      <c r="B14" s="1" t="s">
        <v>40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s="1" t="s">
        <v>26</v>
      </c>
      <c r="S14">
        <v>0</v>
      </c>
    </row>
    <row r="15" spans="1:19" x14ac:dyDescent="0.2">
      <c r="A15" s="1" t="s">
        <v>39</v>
      </c>
      <c r="B15" s="1" t="s">
        <v>36</v>
      </c>
      <c r="C15">
        <v>39</v>
      </c>
      <c r="D15">
        <v>0</v>
      </c>
      <c r="E15">
        <v>0</v>
      </c>
      <c r="F15">
        <v>0</v>
      </c>
      <c r="G15">
        <v>39</v>
      </c>
      <c r="H15">
        <v>18</v>
      </c>
      <c r="I15">
        <v>0</v>
      </c>
      <c r="J15">
        <v>0</v>
      </c>
      <c r="K15">
        <v>0</v>
      </c>
      <c r="L15">
        <v>0</v>
      </c>
      <c r="M15">
        <v>21</v>
      </c>
      <c r="N15">
        <v>0</v>
      </c>
      <c r="O15">
        <v>2809.85</v>
      </c>
      <c r="P15">
        <v>0</v>
      </c>
      <c r="Q15">
        <v>3049.41</v>
      </c>
      <c r="R15" s="1" t="s">
        <v>26</v>
      </c>
      <c r="S15">
        <v>0</v>
      </c>
    </row>
    <row r="16" spans="1:19" x14ac:dyDescent="0.2">
      <c r="A16" s="1" t="s">
        <v>41</v>
      </c>
      <c r="B16" s="1" t="s">
        <v>28</v>
      </c>
      <c r="C16">
        <v>0</v>
      </c>
      <c r="D16">
        <v>50</v>
      </c>
      <c r="E16">
        <v>0</v>
      </c>
      <c r="F16">
        <v>0</v>
      </c>
      <c r="G16">
        <v>50</v>
      </c>
      <c r="H16">
        <v>14</v>
      </c>
      <c r="I16">
        <v>0</v>
      </c>
      <c r="J16">
        <v>0</v>
      </c>
      <c r="K16">
        <v>0</v>
      </c>
      <c r="L16">
        <v>0</v>
      </c>
      <c r="M16">
        <v>36</v>
      </c>
      <c r="N16">
        <v>8375.5</v>
      </c>
      <c r="O16">
        <v>2536.84</v>
      </c>
      <c r="P16">
        <v>0</v>
      </c>
      <c r="Q16">
        <v>6030.36</v>
      </c>
      <c r="R16" s="1" t="s">
        <v>26</v>
      </c>
      <c r="S16">
        <v>0</v>
      </c>
    </row>
    <row r="17" spans="1:19" x14ac:dyDescent="0.2">
      <c r="A17" s="1" t="s">
        <v>42</v>
      </c>
      <c r="B17" s="1" t="s">
        <v>43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s="1" t="s">
        <v>26</v>
      </c>
      <c r="S17">
        <v>0</v>
      </c>
    </row>
    <row r="18" spans="1:19" x14ac:dyDescent="0.2">
      <c r="A18" s="1" t="s">
        <v>44</v>
      </c>
      <c r="B18" s="1" t="s">
        <v>45</v>
      </c>
      <c r="C18">
        <v>6</v>
      </c>
      <c r="D18">
        <v>56</v>
      </c>
      <c r="E18">
        <v>0</v>
      </c>
      <c r="F18">
        <v>0</v>
      </c>
      <c r="G18">
        <v>62</v>
      </c>
      <c r="H18">
        <v>5</v>
      </c>
      <c r="I18">
        <v>0</v>
      </c>
      <c r="J18">
        <v>0</v>
      </c>
      <c r="K18">
        <v>0</v>
      </c>
      <c r="L18">
        <v>0</v>
      </c>
      <c r="M18">
        <v>57</v>
      </c>
      <c r="N18">
        <v>6013.84</v>
      </c>
      <c r="O18">
        <v>605.75</v>
      </c>
      <c r="P18">
        <v>0</v>
      </c>
      <c r="Q18">
        <v>6121.23</v>
      </c>
      <c r="R18" s="1" t="s">
        <v>26</v>
      </c>
      <c r="S18">
        <v>0</v>
      </c>
    </row>
    <row r="19" spans="1:19" x14ac:dyDescent="0.2">
      <c r="A19" s="1" t="s">
        <v>46</v>
      </c>
      <c r="B19" s="1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1" t="s">
        <v>26</v>
      </c>
      <c r="S19">
        <v>0</v>
      </c>
    </row>
    <row r="20" spans="1:19" x14ac:dyDescent="0.2">
      <c r="A20" s="1" t="s">
        <v>46</v>
      </c>
      <c r="B20" s="1" t="s">
        <v>36</v>
      </c>
      <c r="C20">
        <v>45</v>
      </c>
      <c r="D20">
        <v>28</v>
      </c>
      <c r="E20">
        <v>0</v>
      </c>
      <c r="F20">
        <v>0</v>
      </c>
      <c r="G20">
        <v>73</v>
      </c>
      <c r="H20">
        <v>10</v>
      </c>
      <c r="I20">
        <v>0</v>
      </c>
      <c r="J20">
        <v>0</v>
      </c>
      <c r="K20">
        <v>0</v>
      </c>
      <c r="L20">
        <v>0</v>
      </c>
      <c r="M20">
        <v>63</v>
      </c>
      <c r="N20">
        <v>5125.12</v>
      </c>
      <c r="O20">
        <v>2065</v>
      </c>
      <c r="P20">
        <v>0</v>
      </c>
      <c r="Q20">
        <v>11531.52</v>
      </c>
      <c r="R20" s="1" t="s">
        <v>26</v>
      </c>
      <c r="S20">
        <v>0</v>
      </c>
    </row>
    <row r="21" spans="1:19" x14ac:dyDescent="0.2">
      <c r="A21" s="1" t="s">
        <v>48</v>
      </c>
      <c r="B21" s="1" t="s">
        <v>28</v>
      </c>
      <c r="C21">
        <v>54</v>
      </c>
      <c r="D21">
        <v>100</v>
      </c>
      <c r="E21">
        <v>0</v>
      </c>
      <c r="F21">
        <v>0</v>
      </c>
      <c r="G21">
        <v>154</v>
      </c>
      <c r="H21">
        <v>49</v>
      </c>
      <c r="I21">
        <v>0</v>
      </c>
      <c r="J21">
        <v>0</v>
      </c>
      <c r="K21">
        <v>0</v>
      </c>
      <c r="L21">
        <v>0</v>
      </c>
      <c r="M21">
        <v>105</v>
      </c>
      <c r="N21">
        <v>16413</v>
      </c>
      <c r="O21">
        <v>8820.32</v>
      </c>
      <c r="P21">
        <v>0</v>
      </c>
      <c r="Q21">
        <v>17233.650000000001</v>
      </c>
      <c r="R21" s="1" t="s">
        <v>26</v>
      </c>
      <c r="S21">
        <v>0</v>
      </c>
    </row>
    <row r="22" spans="1:19" x14ac:dyDescent="0.2">
      <c r="A22" s="1" t="s">
        <v>49</v>
      </c>
      <c r="B22" s="1" t="s">
        <v>40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s="1" t="s">
        <v>26</v>
      </c>
      <c r="S22">
        <v>0</v>
      </c>
    </row>
    <row r="23" spans="1:19" x14ac:dyDescent="0.2">
      <c r="A23" s="1" t="s">
        <v>50</v>
      </c>
      <c r="B23" s="1" t="s">
        <v>36</v>
      </c>
      <c r="C23">
        <v>41</v>
      </c>
      <c r="D23">
        <v>0</v>
      </c>
      <c r="E23">
        <v>0</v>
      </c>
      <c r="F23">
        <v>0</v>
      </c>
      <c r="G23">
        <v>41</v>
      </c>
      <c r="H23">
        <v>15</v>
      </c>
      <c r="I23">
        <v>0</v>
      </c>
      <c r="J23">
        <v>0</v>
      </c>
      <c r="K23">
        <v>0</v>
      </c>
      <c r="L23">
        <v>0</v>
      </c>
      <c r="M23">
        <v>26</v>
      </c>
      <c r="N23">
        <v>0</v>
      </c>
      <c r="O23">
        <v>2687.86</v>
      </c>
      <c r="P23">
        <v>0</v>
      </c>
      <c r="Q23">
        <v>4513.08</v>
      </c>
      <c r="R23" s="1" t="s">
        <v>26</v>
      </c>
      <c r="S23">
        <v>0</v>
      </c>
    </row>
    <row r="24" spans="1:19" x14ac:dyDescent="0.2">
      <c r="A24" s="1" t="s">
        <v>51</v>
      </c>
      <c r="B24" s="1" t="s">
        <v>52</v>
      </c>
      <c r="C24">
        <v>18</v>
      </c>
      <c r="D24">
        <v>84</v>
      </c>
      <c r="E24">
        <v>0</v>
      </c>
      <c r="F24">
        <v>0</v>
      </c>
      <c r="G24">
        <v>102</v>
      </c>
      <c r="H24">
        <v>9</v>
      </c>
      <c r="I24">
        <v>0</v>
      </c>
      <c r="J24">
        <v>0</v>
      </c>
      <c r="K24">
        <v>0</v>
      </c>
      <c r="L24">
        <v>0</v>
      </c>
      <c r="M24">
        <v>93</v>
      </c>
      <c r="N24">
        <v>5446.56</v>
      </c>
      <c r="O24">
        <v>658.8</v>
      </c>
      <c r="P24">
        <v>0</v>
      </c>
      <c r="Q24">
        <v>6030.12</v>
      </c>
      <c r="R24" s="1" t="s">
        <v>26</v>
      </c>
      <c r="S24">
        <v>0</v>
      </c>
    </row>
    <row r="25" spans="1:19" x14ac:dyDescent="0.2">
      <c r="A25" s="1" t="s">
        <v>53</v>
      </c>
      <c r="B25" s="1" t="s">
        <v>36</v>
      </c>
      <c r="C25">
        <v>39</v>
      </c>
      <c r="D25">
        <v>0</v>
      </c>
      <c r="E25">
        <v>0</v>
      </c>
      <c r="F25">
        <v>0</v>
      </c>
      <c r="G25">
        <v>39</v>
      </c>
      <c r="H25">
        <v>13</v>
      </c>
      <c r="I25">
        <v>0</v>
      </c>
      <c r="J25">
        <v>0</v>
      </c>
      <c r="K25">
        <v>0</v>
      </c>
      <c r="L25">
        <v>0</v>
      </c>
      <c r="M25">
        <v>26</v>
      </c>
      <c r="N25">
        <v>0</v>
      </c>
      <c r="O25">
        <v>1973.08</v>
      </c>
      <c r="P25">
        <v>0</v>
      </c>
      <c r="Q25">
        <v>3775.46</v>
      </c>
      <c r="R25" s="1" t="s">
        <v>26</v>
      </c>
      <c r="S25">
        <v>0</v>
      </c>
    </row>
    <row r="26" spans="1:19" x14ac:dyDescent="0.2">
      <c r="A26" s="1" t="s">
        <v>53</v>
      </c>
      <c r="B26" s="1" t="s">
        <v>54</v>
      </c>
      <c r="C26">
        <v>7</v>
      </c>
      <c r="D26">
        <v>0</v>
      </c>
      <c r="E26">
        <v>0</v>
      </c>
      <c r="F26">
        <v>0</v>
      </c>
      <c r="G26">
        <v>7</v>
      </c>
      <c r="H26">
        <v>0</v>
      </c>
      <c r="I26">
        <v>0</v>
      </c>
      <c r="J26">
        <v>0</v>
      </c>
      <c r="K26">
        <v>0</v>
      </c>
      <c r="L26">
        <v>0</v>
      </c>
      <c r="M26">
        <v>7</v>
      </c>
      <c r="N26">
        <v>0</v>
      </c>
      <c r="O26">
        <v>0</v>
      </c>
      <c r="P26">
        <v>0</v>
      </c>
      <c r="Q26">
        <v>1550.78</v>
      </c>
      <c r="R26" s="1" t="s">
        <v>26</v>
      </c>
      <c r="S26">
        <v>0</v>
      </c>
    </row>
    <row r="27" spans="1:19" x14ac:dyDescent="0.2">
      <c r="A27" s="1" t="s">
        <v>55</v>
      </c>
      <c r="B27" s="1" t="s">
        <v>45</v>
      </c>
      <c r="C27">
        <v>67</v>
      </c>
      <c r="D27">
        <v>0</v>
      </c>
      <c r="E27">
        <v>0</v>
      </c>
      <c r="F27">
        <v>0</v>
      </c>
      <c r="G27">
        <v>67</v>
      </c>
      <c r="H27">
        <v>8</v>
      </c>
      <c r="I27">
        <v>0</v>
      </c>
      <c r="J27">
        <v>0</v>
      </c>
      <c r="K27">
        <v>0</v>
      </c>
      <c r="L27">
        <v>0</v>
      </c>
      <c r="M27">
        <v>59</v>
      </c>
      <c r="N27">
        <v>0</v>
      </c>
      <c r="O27">
        <v>1585.6</v>
      </c>
      <c r="P27">
        <v>0</v>
      </c>
      <c r="Q27">
        <v>9713.76</v>
      </c>
      <c r="R27" s="1" t="s">
        <v>26</v>
      </c>
      <c r="S27">
        <v>0</v>
      </c>
    </row>
    <row r="28" spans="1:19" x14ac:dyDescent="0.2">
      <c r="A28" s="1" t="s">
        <v>56</v>
      </c>
      <c r="B28" s="1" t="s">
        <v>25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s="1" t="s">
        <v>26</v>
      </c>
      <c r="S28">
        <v>0</v>
      </c>
    </row>
    <row r="29" spans="1:19" x14ac:dyDescent="0.2">
      <c r="A29" s="1" t="s">
        <v>56</v>
      </c>
      <c r="B29" s="1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s="1" t="s">
        <v>26</v>
      </c>
      <c r="S29">
        <v>0</v>
      </c>
    </row>
    <row r="30" spans="1:19" x14ac:dyDescent="0.2">
      <c r="A30" s="1" t="s">
        <v>58</v>
      </c>
      <c r="B30" s="1" t="s">
        <v>28</v>
      </c>
      <c r="C30">
        <v>58</v>
      </c>
      <c r="D30">
        <v>0</v>
      </c>
      <c r="E30">
        <v>0</v>
      </c>
      <c r="F30">
        <v>0</v>
      </c>
      <c r="G30">
        <v>58</v>
      </c>
      <c r="H30">
        <v>1</v>
      </c>
      <c r="I30">
        <v>0</v>
      </c>
      <c r="J30">
        <v>0</v>
      </c>
      <c r="K30">
        <v>0</v>
      </c>
      <c r="L30">
        <v>0</v>
      </c>
      <c r="M30">
        <v>57</v>
      </c>
      <c r="N30">
        <v>0</v>
      </c>
      <c r="O30">
        <v>124.96</v>
      </c>
      <c r="P30">
        <v>0</v>
      </c>
      <c r="Q30">
        <v>6314.46</v>
      </c>
      <c r="R30" s="1" t="s">
        <v>26</v>
      </c>
      <c r="S30">
        <v>0</v>
      </c>
    </row>
    <row r="31" spans="1:19" x14ac:dyDescent="0.2">
      <c r="A31" s="1" t="s">
        <v>59</v>
      </c>
      <c r="B31" s="1" t="s">
        <v>36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s="1" t="s">
        <v>26</v>
      </c>
      <c r="S31">
        <v>0</v>
      </c>
    </row>
    <row r="32" spans="1:19" x14ac:dyDescent="0.2">
      <c r="A32" s="1" t="s">
        <v>60</v>
      </c>
      <c r="B32" s="1" t="s">
        <v>40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s="1" t="s">
        <v>26</v>
      </c>
      <c r="S32">
        <v>0</v>
      </c>
    </row>
    <row r="33" spans="1:19" x14ac:dyDescent="0.2">
      <c r="A33" s="1" t="s">
        <v>60</v>
      </c>
      <c r="B33" s="1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s="1" t="s">
        <v>26</v>
      </c>
      <c r="S33">
        <v>0</v>
      </c>
    </row>
    <row r="34" spans="1:19" x14ac:dyDescent="0.2">
      <c r="A34" s="1" t="s">
        <v>62</v>
      </c>
      <c r="B34" s="1" t="s">
        <v>63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s="1" t="s">
        <v>26</v>
      </c>
      <c r="S34">
        <v>0</v>
      </c>
    </row>
    <row r="35" spans="1:19" x14ac:dyDescent="0.2">
      <c r="A35" s="1" t="s">
        <v>62</v>
      </c>
      <c r="B35" s="1" t="s">
        <v>40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s="1" t="s">
        <v>26</v>
      </c>
      <c r="S35">
        <v>0</v>
      </c>
    </row>
    <row r="36" spans="1:19" x14ac:dyDescent="0.2">
      <c r="A36" s="1" t="s">
        <v>64</v>
      </c>
      <c r="B36" s="1" t="s">
        <v>63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s="1" t="s">
        <v>26</v>
      </c>
      <c r="S36">
        <v>0</v>
      </c>
    </row>
    <row r="37" spans="1:19" x14ac:dyDescent="0.2">
      <c r="A37" s="1" t="s">
        <v>65</v>
      </c>
      <c r="B37" s="1" t="s">
        <v>66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s="1" t="s">
        <v>26</v>
      </c>
      <c r="S37">
        <v>0</v>
      </c>
    </row>
    <row r="38" spans="1:19" x14ac:dyDescent="0.2">
      <c r="A38" s="1" t="s">
        <v>67</v>
      </c>
      <c r="B38" s="1" t="s">
        <v>45</v>
      </c>
      <c r="C38">
        <v>30</v>
      </c>
      <c r="D38">
        <v>0</v>
      </c>
      <c r="E38">
        <v>0</v>
      </c>
      <c r="F38">
        <v>0</v>
      </c>
      <c r="G38">
        <v>30</v>
      </c>
      <c r="H38">
        <v>13</v>
      </c>
      <c r="I38">
        <v>0</v>
      </c>
      <c r="J38">
        <v>0</v>
      </c>
      <c r="K38">
        <v>0</v>
      </c>
      <c r="L38">
        <v>0</v>
      </c>
      <c r="M38">
        <v>17</v>
      </c>
      <c r="N38">
        <v>0</v>
      </c>
      <c r="O38">
        <v>2230.09</v>
      </c>
      <c r="P38">
        <v>0</v>
      </c>
      <c r="Q38">
        <v>2813.33</v>
      </c>
      <c r="R38" s="1" t="s">
        <v>26</v>
      </c>
      <c r="S38">
        <v>0</v>
      </c>
    </row>
    <row r="39" spans="1:19" x14ac:dyDescent="0.2">
      <c r="A39" s="1" t="s">
        <v>68</v>
      </c>
      <c r="B39" s="1" t="s">
        <v>69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s="1" t="s">
        <v>26</v>
      </c>
      <c r="S39">
        <v>0</v>
      </c>
    </row>
    <row r="40" spans="1:19" x14ac:dyDescent="0.2">
      <c r="A40" s="1" t="s">
        <v>70</v>
      </c>
      <c r="B40" s="1" t="s">
        <v>71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s="1" t="s">
        <v>26</v>
      </c>
      <c r="S40">
        <v>0</v>
      </c>
    </row>
    <row r="41" spans="1:19" x14ac:dyDescent="0.2">
      <c r="A41" s="1" t="s">
        <v>72</v>
      </c>
      <c r="B41" s="1" t="s">
        <v>57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s="1" t="s">
        <v>26</v>
      </c>
      <c r="S41">
        <v>0</v>
      </c>
    </row>
    <row r="42" spans="1:19" x14ac:dyDescent="0.2">
      <c r="A42" s="1" t="s">
        <v>73</v>
      </c>
      <c r="B42" s="1" t="s">
        <v>69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s="1" t="s">
        <v>26</v>
      </c>
      <c r="S42">
        <v>0</v>
      </c>
    </row>
    <row r="43" spans="1:19" x14ac:dyDescent="0.2">
      <c r="A43" s="1" t="s">
        <v>74</v>
      </c>
      <c r="B43" s="1" t="s">
        <v>57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s="1" t="s">
        <v>26</v>
      </c>
      <c r="S43">
        <v>0</v>
      </c>
    </row>
    <row r="44" spans="1:19" x14ac:dyDescent="0.2">
      <c r="A44" s="1" t="s">
        <v>75</v>
      </c>
      <c r="B44" s="1" t="s">
        <v>76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s="1" t="s">
        <v>26</v>
      </c>
      <c r="S44">
        <v>0</v>
      </c>
    </row>
    <row r="45" spans="1:19" x14ac:dyDescent="0.2">
      <c r="A45" s="1" t="s">
        <v>77</v>
      </c>
      <c r="B45" s="1" t="s">
        <v>78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s="1" t="s">
        <v>26</v>
      </c>
      <c r="S45">
        <v>0</v>
      </c>
    </row>
    <row r="46" spans="1:19" x14ac:dyDescent="0.2">
      <c r="A46" s="1" t="s">
        <v>79</v>
      </c>
      <c r="B46" s="1" t="s">
        <v>76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s="1" t="s">
        <v>26</v>
      </c>
      <c r="S46">
        <v>0</v>
      </c>
    </row>
    <row r="47" spans="1:19" x14ac:dyDescent="0.2">
      <c r="A47" s="1" t="s">
        <v>80</v>
      </c>
      <c r="B47" s="1" t="s">
        <v>76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s="1" t="s">
        <v>26</v>
      </c>
      <c r="S47">
        <v>0</v>
      </c>
    </row>
    <row r="48" spans="1:19" x14ac:dyDescent="0.2">
      <c r="A48" s="1" t="s">
        <v>81</v>
      </c>
      <c r="B48" s="1" t="s">
        <v>76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s="1" t="s">
        <v>26</v>
      </c>
      <c r="S48">
        <v>0</v>
      </c>
    </row>
    <row r="49" spans="1:19" x14ac:dyDescent="0.2">
      <c r="A49" s="1" t="s">
        <v>82</v>
      </c>
      <c r="B49" s="1" t="s">
        <v>76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s="1" t="s">
        <v>26</v>
      </c>
      <c r="S49">
        <v>0</v>
      </c>
    </row>
    <row r="50" spans="1:19" x14ac:dyDescent="0.2">
      <c r="A50" s="1" t="s">
        <v>83</v>
      </c>
      <c r="B50" s="1" t="s">
        <v>76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s="1" t="s">
        <v>26</v>
      </c>
      <c r="S50">
        <v>0</v>
      </c>
    </row>
    <row r="51" spans="1:19" x14ac:dyDescent="0.2">
      <c r="A51" s="1" t="s">
        <v>84</v>
      </c>
      <c r="B51" s="1" t="s">
        <v>76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s="1" t="s">
        <v>26</v>
      </c>
      <c r="S51">
        <v>0</v>
      </c>
    </row>
    <row r="52" spans="1:19" x14ac:dyDescent="0.2">
      <c r="A52" s="1" t="s">
        <v>85</v>
      </c>
      <c r="B52" s="1" t="s">
        <v>86</v>
      </c>
      <c r="C52">
        <v>21</v>
      </c>
      <c r="D52">
        <v>0</v>
      </c>
      <c r="E52">
        <v>0</v>
      </c>
      <c r="F52">
        <v>0</v>
      </c>
      <c r="G52">
        <v>21</v>
      </c>
      <c r="H52">
        <v>2</v>
      </c>
      <c r="I52">
        <v>0</v>
      </c>
      <c r="J52">
        <v>0</v>
      </c>
      <c r="K52">
        <v>0</v>
      </c>
      <c r="L52">
        <v>0</v>
      </c>
      <c r="M52">
        <v>19</v>
      </c>
      <c r="N52">
        <v>0</v>
      </c>
      <c r="O52">
        <v>457.36</v>
      </c>
      <c r="P52">
        <v>0</v>
      </c>
      <c r="Q52">
        <v>3869.54</v>
      </c>
      <c r="R52" s="1" t="s">
        <v>26</v>
      </c>
      <c r="S52">
        <v>0</v>
      </c>
    </row>
    <row r="53" spans="1:19" x14ac:dyDescent="0.2">
      <c r="A53" s="1" t="s">
        <v>87</v>
      </c>
      <c r="B53" s="1" t="s">
        <v>88</v>
      </c>
      <c r="C53">
        <v>0</v>
      </c>
      <c r="D53">
        <v>2</v>
      </c>
      <c r="E53">
        <v>0</v>
      </c>
      <c r="F53">
        <v>0</v>
      </c>
      <c r="G53">
        <v>2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157.62</v>
      </c>
      <c r="O53">
        <v>184.4</v>
      </c>
      <c r="P53">
        <v>0</v>
      </c>
      <c r="Q53">
        <v>0</v>
      </c>
      <c r="R53" s="1" t="s">
        <v>26</v>
      </c>
      <c r="S53">
        <v>0</v>
      </c>
    </row>
    <row r="54" spans="1:19" x14ac:dyDescent="0.2">
      <c r="A54" s="1" t="s">
        <v>89</v>
      </c>
      <c r="B54" s="1" t="s">
        <v>90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s="1" t="s">
        <v>26</v>
      </c>
      <c r="S54">
        <v>0</v>
      </c>
    </row>
    <row r="55" spans="1:19" x14ac:dyDescent="0.2">
      <c r="A55" s="1" t="s">
        <v>91</v>
      </c>
      <c r="B55" s="1" t="s">
        <v>86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s="1" t="s">
        <v>26</v>
      </c>
      <c r="S55">
        <v>0</v>
      </c>
    </row>
    <row r="56" spans="1:19" x14ac:dyDescent="0.2">
      <c r="A56" s="1" t="s">
        <v>92</v>
      </c>
      <c r="B56" s="1" t="s">
        <v>93</v>
      </c>
      <c r="C56">
        <v>59</v>
      </c>
      <c r="D56">
        <v>0</v>
      </c>
      <c r="E56">
        <v>0</v>
      </c>
      <c r="F56">
        <v>0</v>
      </c>
      <c r="G56">
        <v>59</v>
      </c>
      <c r="H56">
        <v>5</v>
      </c>
      <c r="I56">
        <v>0</v>
      </c>
      <c r="J56">
        <v>0</v>
      </c>
      <c r="K56">
        <v>0</v>
      </c>
      <c r="L56">
        <v>0</v>
      </c>
      <c r="M56">
        <v>54</v>
      </c>
      <c r="N56">
        <v>0</v>
      </c>
      <c r="O56">
        <v>552.6</v>
      </c>
      <c r="P56">
        <v>0</v>
      </c>
      <c r="Q56">
        <v>5288.76</v>
      </c>
      <c r="R56" s="1" t="s">
        <v>26</v>
      </c>
      <c r="S56">
        <v>0</v>
      </c>
    </row>
    <row r="57" spans="1:19" x14ac:dyDescent="0.2">
      <c r="A57" s="1" t="s">
        <v>92</v>
      </c>
      <c r="B57" s="1" t="s">
        <v>34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s="1" t="s">
        <v>26</v>
      </c>
      <c r="S57">
        <v>0</v>
      </c>
    </row>
    <row r="58" spans="1:19" x14ac:dyDescent="0.2">
      <c r="A58" s="1" t="s">
        <v>94</v>
      </c>
      <c r="B58" s="1" t="s">
        <v>28</v>
      </c>
      <c r="C58">
        <v>213</v>
      </c>
      <c r="D58">
        <v>0</v>
      </c>
      <c r="E58">
        <v>0</v>
      </c>
      <c r="F58">
        <v>0</v>
      </c>
      <c r="G58">
        <v>213</v>
      </c>
      <c r="H58">
        <v>102</v>
      </c>
      <c r="I58">
        <v>0</v>
      </c>
      <c r="J58">
        <v>0</v>
      </c>
      <c r="K58">
        <v>0</v>
      </c>
      <c r="L58">
        <v>0</v>
      </c>
      <c r="M58">
        <v>111</v>
      </c>
      <c r="N58">
        <v>0</v>
      </c>
      <c r="O58">
        <v>20495.3</v>
      </c>
      <c r="P58">
        <v>0</v>
      </c>
      <c r="Q58">
        <v>21067.8</v>
      </c>
      <c r="R58" s="1" t="s">
        <v>26</v>
      </c>
      <c r="S58">
        <v>0</v>
      </c>
    </row>
    <row r="59" spans="1:19" x14ac:dyDescent="0.2">
      <c r="A59" s="1" t="s">
        <v>95</v>
      </c>
      <c r="B59" s="1" t="s">
        <v>36</v>
      </c>
      <c r="C59">
        <v>26</v>
      </c>
      <c r="D59">
        <v>35</v>
      </c>
      <c r="E59">
        <v>0</v>
      </c>
      <c r="F59">
        <v>0</v>
      </c>
      <c r="G59">
        <v>61</v>
      </c>
      <c r="H59">
        <v>37</v>
      </c>
      <c r="I59">
        <v>0</v>
      </c>
      <c r="J59">
        <v>0</v>
      </c>
      <c r="K59">
        <v>0</v>
      </c>
      <c r="L59">
        <v>0</v>
      </c>
      <c r="M59">
        <v>24</v>
      </c>
      <c r="N59">
        <v>8297.4500000000007</v>
      </c>
      <c r="O59">
        <v>9697.36</v>
      </c>
      <c r="P59">
        <v>0</v>
      </c>
      <c r="Q59">
        <v>5689.68</v>
      </c>
      <c r="R59" s="1" t="s">
        <v>26</v>
      </c>
      <c r="S59">
        <v>0</v>
      </c>
    </row>
    <row r="60" spans="1:19" x14ac:dyDescent="0.2">
      <c r="A60" s="1" t="s">
        <v>96</v>
      </c>
      <c r="B60" s="1" t="s">
        <v>40</v>
      </c>
      <c r="C60">
        <v>67</v>
      </c>
      <c r="D60">
        <v>0</v>
      </c>
      <c r="E60">
        <v>0</v>
      </c>
      <c r="F60">
        <v>0</v>
      </c>
      <c r="G60">
        <v>67</v>
      </c>
      <c r="H60">
        <v>21</v>
      </c>
      <c r="I60">
        <v>0</v>
      </c>
      <c r="J60">
        <v>0</v>
      </c>
      <c r="K60">
        <v>0</v>
      </c>
      <c r="L60">
        <v>0</v>
      </c>
      <c r="M60">
        <v>46</v>
      </c>
      <c r="N60">
        <v>0</v>
      </c>
      <c r="O60">
        <v>3601.5</v>
      </c>
      <c r="P60">
        <v>0</v>
      </c>
      <c r="Q60">
        <v>6990.16</v>
      </c>
      <c r="R60" s="1" t="s">
        <v>26</v>
      </c>
      <c r="S60">
        <v>0</v>
      </c>
    </row>
    <row r="61" spans="1:19" x14ac:dyDescent="0.2">
      <c r="A61" s="1" t="s">
        <v>97</v>
      </c>
      <c r="B61" s="1" t="s">
        <v>40</v>
      </c>
      <c r="C61">
        <v>52</v>
      </c>
      <c r="D61">
        <v>0</v>
      </c>
      <c r="E61">
        <v>0</v>
      </c>
      <c r="F61">
        <v>0</v>
      </c>
      <c r="G61">
        <v>52</v>
      </c>
      <c r="H61">
        <v>21</v>
      </c>
      <c r="I61">
        <v>0</v>
      </c>
      <c r="J61">
        <v>0</v>
      </c>
      <c r="K61">
        <v>0</v>
      </c>
      <c r="L61">
        <v>0</v>
      </c>
      <c r="M61">
        <v>31</v>
      </c>
      <c r="N61">
        <v>0</v>
      </c>
      <c r="O61">
        <v>2560</v>
      </c>
      <c r="P61">
        <v>0</v>
      </c>
      <c r="Q61">
        <v>3517.57</v>
      </c>
      <c r="R61" s="1" t="s">
        <v>26</v>
      </c>
      <c r="S61">
        <v>0</v>
      </c>
    </row>
    <row r="62" spans="1:19" x14ac:dyDescent="0.2">
      <c r="A62" s="1" t="s">
        <v>98</v>
      </c>
      <c r="B62" s="1" t="s">
        <v>36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s="1" t="s">
        <v>26</v>
      </c>
      <c r="S62">
        <v>0</v>
      </c>
    </row>
    <row r="63" spans="1:19" x14ac:dyDescent="0.2">
      <c r="A63" s="1" t="s">
        <v>99</v>
      </c>
      <c r="B63" s="1" t="s">
        <v>28</v>
      </c>
      <c r="C63">
        <v>18</v>
      </c>
      <c r="D63">
        <v>0</v>
      </c>
      <c r="E63">
        <v>0</v>
      </c>
      <c r="F63">
        <v>0</v>
      </c>
      <c r="G63">
        <v>18</v>
      </c>
      <c r="H63">
        <v>13</v>
      </c>
      <c r="I63">
        <v>0</v>
      </c>
      <c r="J63">
        <v>0</v>
      </c>
      <c r="K63">
        <v>0</v>
      </c>
      <c r="L63">
        <v>0</v>
      </c>
      <c r="M63">
        <v>5</v>
      </c>
      <c r="N63">
        <v>0</v>
      </c>
      <c r="O63">
        <v>2303.5300000000002</v>
      </c>
      <c r="P63">
        <v>0</v>
      </c>
      <c r="Q63">
        <v>854.4</v>
      </c>
      <c r="R63" s="1" t="s">
        <v>26</v>
      </c>
      <c r="S63">
        <v>0</v>
      </c>
    </row>
    <row r="64" spans="1:19" x14ac:dyDescent="0.2">
      <c r="A64" s="1" t="s">
        <v>100</v>
      </c>
      <c r="B64" s="1" t="s">
        <v>45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s="1" t="s">
        <v>26</v>
      </c>
      <c r="S64">
        <v>0</v>
      </c>
    </row>
    <row r="65" spans="1:19" x14ac:dyDescent="0.2">
      <c r="A65" s="1" t="s">
        <v>101</v>
      </c>
      <c r="B65" s="1" t="s">
        <v>40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s="1" t="s">
        <v>26</v>
      </c>
      <c r="S65">
        <v>0</v>
      </c>
    </row>
    <row r="66" spans="1:19" x14ac:dyDescent="0.2">
      <c r="A66" s="1" t="s">
        <v>102</v>
      </c>
      <c r="B66" s="1" t="s">
        <v>36</v>
      </c>
      <c r="C66">
        <v>0</v>
      </c>
      <c r="D66">
        <v>28</v>
      </c>
      <c r="E66">
        <v>0</v>
      </c>
      <c r="F66">
        <v>0</v>
      </c>
      <c r="G66">
        <v>28</v>
      </c>
      <c r="H66">
        <v>13</v>
      </c>
      <c r="I66">
        <v>0</v>
      </c>
      <c r="J66">
        <v>0</v>
      </c>
      <c r="K66">
        <v>0</v>
      </c>
      <c r="L66">
        <v>0</v>
      </c>
      <c r="M66">
        <v>15</v>
      </c>
      <c r="N66">
        <v>4860.24</v>
      </c>
      <c r="O66">
        <v>2412.08</v>
      </c>
      <c r="P66">
        <v>0</v>
      </c>
      <c r="Q66">
        <v>2603.6999999999998</v>
      </c>
      <c r="R66" s="1" t="s">
        <v>26</v>
      </c>
      <c r="S66">
        <v>0</v>
      </c>
    </row>
    <row r="67" spans="1:19" x14ac:dyDescent="0.2">
      <c r="A67" s="1" t="s">
        <v>103</v>
      </c>
      <c r="B67" s="1" t="s">
        <v>28</v>
      </c>
      <c r="C67">
        <v>15</v>
      </c>
      <c r="D67">
        <v>0</v>
      </c>
      <c r="E67">
        <v>0</v>
      </c>
      <c r="F67">
        <v>0</v>
      </c>
      <c r="G67">
        <v>15</v>
      </c>
      <c r="H67">
        <v>0</v>
      </c>
      <c r="I67">
        <v>0</v>
      </c>
      <c r="J67">
        <v>0</v>
      </c>
      <c r="K67">
        <v>0</v>
      </c>
      <c r="L67">
        <v>0</v>
      </c>
      <c r="M67">
        <v>15</v>
      </c>
      <c r="N67">
        <v>0</v>
      </c>
      <c r="O67">
        <v>0</v>
      </c>
      <c r="P67">
        <v>0</v>
      </c>
      <c r="Q67">
        <v>2089.5</v>
      </c>
      <c r="R67" s="1" t="s">
        <v>26</v>
      </c>
      <c r="S67">
        <v>0</v>
      </c>
    </row>
    <row r="68" spans="1:19" x14ac:dyDescent="0.2">
      <c r="A68" s="1" t="s">
        <v>104</v>
      </c>
      <c r="B68" s="1" t="s">
        <v>86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s="1" t="s">
        <v>26</v>
      </c>
      <c r="S68">
        <v>0</v>
      </c>
    </row>
    <row r="69" spans="1:19" x14ac:dyDescent="0.2">
      <c r="A69" s="1" t="s">
        <v>105</v>
      </c>
      <c r="B69" s="1" t="s">
        <v>106</v>
      </c>
      <c r="C69">
        <v>165</v>
      </c>
      <c r="D69">
        <v>0</v>
      </c>
      <c r="E69">
        <v>0</v>
      </c>
      <c r="F69">
        <v>0</v>
      </c>
      <c r="G69">
        <v>165</v>
      </c>
      <c r="H69">
        <v>106</v>
      </c>
      <c r="I69">
        <v>0</v>
      </c>
      <c r="J69">
        <v>0</v>
      </c>
      <c r="K69">
        <v>0</v>
      </c>
      <c r="L69">
        <v>0</v>
      </c>
      <c r="M69">
        <v>59</v>
      </c>
      <c r="N69">
        <v>0</v>
      </c>
      <c r="O69">
        <v>9831.5</v>
      </c>
      <c r="P69">
        <v>0</v>
      </c>
      <c r="Q69">
        <v>5472.25</v>
      </c>
      <c r="R69" s="1" t="s">
        <v>26</v>
      </c>
      <c r="S69">
        <v>0</v>
      </c>
    </row>
    <row r="70" spans="1:19" x14ac:dyDescent="0.2">
      <c r="A70" s="1" t="s">
        <v>107</v>
      </c>
      <c r="B70" s="1" t="s">
        <v>40</v>
      </c>
      <c r="C70">
        <v>78</v>
      </c>
      <c r="D70">
        <v>0</v>
      </c>
      <c r="E70">
        <v>0</v>
      </c>
      <c r="F70">
        <v>0</v>
      </c>
      <c r="G70">
        <v>78</v>
      </c>
      <c r="H70">
        <v>0</v>
      </c>
      <c r="I70">
        <v>0</v>
      </c>
      <c r="J70">
        <v>0</v>
      </c>
      <c r="K70">
        <v>78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s="1" t="s">
        <v>26</v>
      </c>
      <c r="S70">
        <v>0</v>
      </c>
    </row>
    <row r="71" spans="1:19" x14ac:dyDescent="0.2">
      <c r="A71" s="1" t="s">
        <v>108</v>
      </c>
      <c r="B71" s="1" t="s">
        <v>109</v>
      </c>
      <c r="C71">
        <v>24</v>
      </c>
      <c r="D71">
        <v>0</v>
      </c>
      <c r="E71">
        <v>0</v>
      </c>
      <c r="F71">
        <v>0</v>
      </c>
      <c r="G71">
        <v>24</v>
      </c>
      <c r="H71">
        <v>24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2723.37</v>
      </c>
      <c r="P71">
        <v>0</v>
      </c>
      <c r="Q71">
        <v>0</v>
      </c>
      <c r="R71" s="1" t="s">
        <v>26</v>
      </c>
      <c r="S71">
        <v>0</v>
      </c>
    </row>
    <row r="72" spans="1:19" x14ac:dyDescent="0.2">
      <c r="A72" s="1" t="s">
        <v>110</v>
      </c>
      <c r="B72" s="1" t="s">
        <v>86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s="1" t="s">
        <v>26</v>
      </c>
      <c r="S72">
        <v>0</v>
      </c>
    </row>
    <row r="73" spans="1:19" x14ac:dyDescent="0.2">
      <c r="A73" s="1" t="s">
        <v>111</v>
      </c>
      <c r="B73" s="1" t="s">
        <v>76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s="1" t="s">
        <v>26</v>
      </c>
      <c r="S73">
        <v>0</v>
      </c>
    </row>
    <row r="74" spans="1:19" x14ac:dyDescent="0.2">
      <c r="A74" s="1" t="s">
        <v>112</v>
      </c>
      <c r="B74" s="1" t="s">
        <v>113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s="1" t="s">
        <v>26</v>
      </c>
      <c r="S74">
        <v>0</v>
      </c>
    </row>
    <row r="75" spans="1:19" x14ac:dyDescent="0.2">
      <c r="A75" s="1" t="s">
        <v>114</v>
      </c>
      <c r="B75" s="1" t="s">
        <v>115</v>
      </c>
      <c r="C75">
        <v>11</v>
      </c>
      <c r="D75">
        <v>0</v>
      </c>
      <c r="E75">
        <v>0</v>
      </c>
      <c r="F75">
        <v>0</v>
      </c>
      <c r="G75">
        <v>11</v>
      </c>
      <c r="H75">
        <v>5</v>
      </c>
      <c r="I75">
        <v>0</v>
      </c>
      <c r="J75">
        <v>0</v>
      </c>
      <c r="K75">
        <v>0</v>
      </c>
      <c r="L75">
        <v>0</v>
      </c>
      <c r="M75">
        <v>6</v>
      </c>
      <c r="N75">
        <v>0</v>
      </c>
      <c r="O75">
        <v>587.5</v>
      </c>
      <c r="P75">
        <v>0</v>
      </c>
      <c r="Q75">
        <v>533.1</v>
      </c>
      <c r="R75" s="1" t="s">
        <v>26</v>
      </c>
      <c r="S75">
        <v>0</v>
      </c>
    </row>
    <row r="76" spans="1:19" x14ac:dyDescent="0.2">
      <c r="A76" s="1" t="s">
        <v>114</v>
      </c>
      <c r="B76" s="1" t="s">
        <v>71</v>
      </c>
      <c r="C76">
        <v>7</v>
      </c>
      <c r="D76">
        <v>0</v>
      </c>
      <c r="E76">
        <v>0</v>
      </c>
      <c r="F76">
        <v>0</v>
      </c>
      <c r="G76">
        <v>7</v>
      </c>
      <c r="H76">
        <v>6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228.9</v>
      </c>
      <c r="P76">
        <v>0</v>
      </c>
      <c r="Q76">
        <v>28.57</v>
      </c>
      <c r="R76" s="1" t="s">
        <v>26</v>
      </c>
      <c r="S76">
        <v>0</v>
      </c>
    </row>
    <row r="77" spans="1:19" x14ac:dyDescent="0.2">
      <c r="A77" s="1" t="s">
        <v>116</v>
      </c>
      <c r="B77" s="1" t="s">
        <v>93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s="1" t="s">
        <v>26</v>
      </c>
      <c r="S77">
        <v>0</v>
      </c>
    </row>
    <row r="78" spans="1:19" x14ac:dyDescent="0.2">
      <c r="A78" s="1" t="s">
        <v>117</v>
      </c>
      <c r="B78" s="1" t="s">
        <v>36</v>
      </c>
      <c r="C78">
        <v>67</v>
      </c>
      <c r="D78">
        <v>168</v>
      </c>
      <c r="E78">
        <v>0</v>
      </c>
      <c r="F78">
        <v>0</v>
      </c>
      <c r="G78">
        <v>235</v>
      </c>
      <c r="H78">
        <v>53</v>
      </c>
      <c r="I78">
        <v>0</v>
      </c>
      <c r="J78">
        <v>0</v>
      </c>
      <c r="K78">
        <v>0</v>
      </c>
      <c r="L78">
        <v>0</v>
      </c>
      <c r="M78">
        <v>182</v>
      </c>
      <c r="N78">
        <v>25529.279999999999</v>
      </c>
      <c r="O78">
        <v>8907.83</v>
      </c>
      <c r="P78">
        <v>0</v>
      </c>
      <c r="Q78">
        <v>27656.720000000001</v>
      </c>
      <c r="R78" s="1" t="s">
        <v>26</v>
      </c>
      <c r="S78">
        <v>0</v>
      </c>
    </row>
    <row r="79" spans="1:19" x14ac:dyDescent="0.2">
      <c r="A79" s="1" t="s">
        <v>118</v>
      </c>
      <c r="B79" s="1" t="s">
        <v>28</v>
      </c>
      <c r="C79">
        <v>54</v>
      </c>
      <c r="D79">
        <v>100</v>
      </c>
      <c r="E79">
        <v>0</v>
      </c>
      <c r="F79">
        <v>0</v>
      </c>
      <c r="G79">
        <v>154</v>
      </c>
      <c r="H79">
        <v>35</v>
      </c>
      <c r="I79">
        <v>0</v>
      </c>
      <c r="J79">
        <v>0</v>
      </c>
      <c r="K79">
        <v>0</v>
      </c>
      <c r="L79">
        <v>0</v>
      </c>
      <c r="M79">
        <v>119</v>
      </c>
      <c r="N79">
        <v>17358</v>
      </c>
      <c r="O79">
        <v>6874.7</v>
      </c>
      <c r="P79">
        <v>0</v>
      </c>
      <c r="Q79">
        <v>20656.02</v>
      </c>
      <c r="R79" s="1" t="s">
        <v>26</v>
      </c>
      <c r="S79">
        <v>0</v>
      </c>
    </row>
    <row r="80" spans="1:19" x14ac:dyDescent="0.2">
      <c r="A80" s="1" t="s">
        <v>119</v>
      </c>
      <c r="B80" s="1" t="s">
        <v>36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s="1" t="s">
        <v>26</v>
      </c>
      <c r="S80">
        <v>0</v>
      </c>
    </row>
    <row r="81" spans="1:19" x14ac:dyDescent="0.2">
      <c r="A81" s="1" t="s">
        <v>120</v>
      </c>
      <c r="B81" s="1" t="s">
        <v>28</v>
      </c>
      <c r="C81">
        <v>18</v>
      </c>
      <c r="D81">
        <v>0</v>
      </c>
      <c r="E81">
        <v>0</v>
      </c>
      <c r="F81">
        <v>0</v>
      </c>
      <c r="G81">
        <v>18</v>
      </c>
      <c r="H81">
        <v>11</v>
      </c>
      <c r="I81">
        <v>0</v>
      </c>
      <c r="J81">
        <v>0</v>
      </c>
      <c r="K81">
        <v>0</v>
      </c>
      <c r="L81">
        <v>0</v>
      </c>
      <c r="M81">
        <v>7</v>
      </c>
      <c r="N81">
        <v>0</v>
      </c>
      <c r="O81">
        <v>2337.56</v>
      </c>
      <c r="P81">
        <v>0</v>
      </c>
      <c r="Q81">
        <v>1425.62</v>
      </c>
      <c r="R81" s="1" t="s">
        <v>26</v>
      </c>
      <c r="S81">
        <v>0</v>
      </c>
    </row>
    <row r="82" spans="1:19" x14ac:dyDescent="0.2">
      <c r="A82" s="1" t="s">
        <v>121</v>
      </c>
      <c r="B82" s="1" t="s">
        <v>86</v>
      </c>
      <c r="C82">
        <v>44</v>
      </c>
      <c r="D82">
        <v>0</v>
      </c>
      <c r="E82">
        <v>0</v>
      </c>
      <c r="F82">
        <v>0</v>
      </c>
      <c r="G82">
        <v>44</v>
      </c>
      <c r="H82">
        <v>0</v>
      </c>
      <c r="I82">
        <v>0</v>
      </c>
      <c r="J82">
        <v>0</v>
      </c>
      <c r="K82">
        <v>0</v>
      </c>
      <c r="L82">
        <v>0</v>
      </c>
      <c r="M82">
        <v>44</v>
      </c>
      <c r="N82">
        <v>0</v>
      </c>
      <c r="O82">
        <v>0</v>
      </c>
      <c r="P82">
        <v>0</v>
      </c>
      <c r="Q82">
        <v>11201.52</v>
      </c>
      <c r="R82" s="1" t="s">
        <v>26</v>
      </c>
      <c r="S82">
        <v>0</v>
      </c>
    </row>
    <row r="83" spans="1:19" x14ac:dyDescent="0.2">
      <c r="A83" s="1" t="s">
        <v>122</v>
      </c>
      <c r="B83" s="1" t="s">
        <v>28</v>
      </c>
      <c r="C83">
        <v>35</v>
      </c>
      <c r="D83">
        <v>0</v>
      </c>
      <c r="E83">
        <v>0</v>
      </c>
      <c r="F83">
        <v>0</v>
      </c>
      <c r="G83">
        <v>35</v>
      </c>
      <c r="H83">
        <v>6</v>
      </c>
      <c r="I83">
        <v>0</v>
      </c>
      <c r="J83">
        <v>0</v>
      </c>
      <c r="K83">
        <v>0</v>
      </c>
      <c r="L83">
        <v>0</v>
      </c>
      <c r="M83">
        <v>29</v>
      </c>
      <c r="N83">
        <v>0</v>
      </c>
      <c r="O83">
        <v>1044.5999999999999</v>
      </c>
      <c r="P83">
        <v>0</v>
      </c>
      <c r="Q83">
        <v>4857.79</v>
      </c>
      <c r="R83" s="1" t="s">
        <v>26</v>
      </c>
      <c r="S83">
        <v>0</v>
      </c>
    </row>
    <row r="84" spans="1:19" x14ac:dyDescent="0.2">
      <c r="A84" s="1" t="s">
        <v>123</v>
      </c>
      <c r="B84" s="1" t="s">
        <v>45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s="1" t="s">
        <v>26</v>
      </c>
      <c r="S84">
        <v>0</v>
      </c>
    </row>
    <row r="85" spans="1:19" x14ac:dyDescent="0.2">
      <c r="A85" s="1" t="s">
        <v>124</v>
      </c>
      <c r="B85" s="1" t="s">
        <v>36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s="1" t="s">
        <v>26</v>
      </c>
      <c r="S85">
        <v>0</v>
      </c>
    </row>
    <row r="86" spans="1:19" x14ac:dyDescent="0.2">
      <c r="A86" s="1" t="s">
        <v>125</v>
      </c>
      <c r="B86" s="1" t="s">
        <v>126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s="1" t="s">
        <v>26</v>
      </c>
      <c r="S86">
        <v>0</v>
      </c>
    </row>
    <row r="88" spans="1:19" x14ac:dyDescent="0.2">
      <c r="M88" t="s">
        <v>11</v>
      </c>
      <c r="N88">
        <f>SUM(N4:N86)</f>
        <v>100475.51000000001</v>
      </c>
      <c r="O88">
        <f>SUM(O4:O86)</f>
        <v>106309.33999999998</v>
      </c>
      <c r="P88">
        <f>SUM(P4:P86)</f>
        <v>0</v>
      </c>
      <c r="Q88">
        <f>SUM(Q4:Q86)</f>
        <v>208632.74000000002</v>
      </c>
    </row>
  </sheetData>
  <mergeCells count="5">
    <mergeCell ref="A1:S1"/>
    <mergeCell ref="A2:S2"/>
    <mergeCell ref="A3:S3"/>
    <mergeCell ref="A4:S4"/>
    <mergeCell ref="A5:S5"/>
  </mergeCells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2026-10-02T14:34:36Z</dcterms:created>
  <dcterms:modified xsi:type="dcterms:W3CDTF">2026-10-02T14:34:53Z</dcterms:modified>
</cp:coreProperties>
</file>