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10500"/>
  </bookViews>
  <sheets>
    <sheet name="XLS985" sheetId="1" r:id="rId1"/>
  </sheets>
  <calcPr calcId="124519"/>
</workbook>
</file>

<file path=xl/calcChain.xml><?xml version="1.0" encoding="utf-8"?>
<calcChain xmlns="http://schemas.openxmlformats.org/spreadsheetml/2006/main">
  <c r="U7" i="1"/>
  <c r="T7"/>
  <c r="S7"/>
  <c r="R7"/>
  <c r="Q7"/>
  <c r="P7"/>
  <c r="O7"/>
  <c r="N7"/>
  <c r="M7"/>
  <c r="L7"/>
  <c r="K7"/>
  <c r="J7"/>
  <c r="I7"/>
  <c r="H7"/>
  <c r="G7"/>
  <c r="F7"/>
  <c r="E7"/>
  <c r="D7"/>
  <c r="C7"/>
  <c r="B7"/>
  <c r="A7"/>
</calcChain>
</file>

<file path=xl/sharedStrings.xml><?xml version="1.0" encoding="utf-8"?>
<sst xmlns="http://schemas.openxmlformats.org/spreadsheetml/2006/main" count="158" uniqueCount="87">
  <si>
    <t>ASHWAGANDHA TAB</t>
  </si>
  <si>
    <t>60 TAB</t>
  </si>
  <si>
    <t>30049099</t>
  </si>
  <si>
    <t>AYURSLIM CAP</t>
  </si>
  <si>
    <t>60 CAP</t>
  </si>
  <si>
    <t>30049001</t>
  </si>
  <si>
    <t>BRAHMI TAB</t>
  </si>
  <si>
    <t>GASEX SYRUP</t>
  </si>
  <si>
    <t>200 ML</t>
  </si>
  <si>
    <t>GASEX TABS</t>
  </si>
  <si>
    <t>100 TB</t>
  </si>
  <si>
    <t>GOKSHURA CAP</t>
  </si>
  <si>
    <t>GUDUCHI TAB</t>
  </si>
  <si>
    <t>HIMCOCID SUSP.[MINT]</t>
  </si>
  <si>
    <t>HIMCOCID SUSP.[SAUNF]</t>
  </si>
  <si>
    <t>KOFLET EX LINCTUS</t>
  </si>
  <si>
    <t>100 ML</t>
  </si>
  <si>
    <t>KOFLET KIDZ COUGH SYP</t>
  </si>
  <si>
    <t>100 ml</t>
  </si>
  <si>
    <t>30049011</t>
  </si>
  <si>
    <t>KOFLET LOGENZES 10 S</t>
  </si>
  <si>
    <t>10*TAB</t>
  </si>
  <si>
    <t>KOFLET LOZEN (225) JAR</t>
  </si>
  <si>
    <t>225TAB</t>
  </si>
  <si>
    <t>KOFLET LOZEN (60+15) JAR</t>
  </si>
  <si>
    <t>75*TAB</t>
  </si>
  <si>
    <t>KOFLET SF LINCTUS</t>
  </si>
  <si>
    <t>KOFLET SYRUP</t>
  </si>
  <si>
    <t>KOFLET-H LOZEN [ASSORTED] JAR</t>
  </si>
  <si>
    <t>6 TAB</t>
  </si>
  <si>
    <t>KOFLET-H TAB [GINGER]</t>
  </si>
  <si>
    <t>KOFLET-H TAB [ORANGE]</t>
  </si>
  <si>
    <t>10 TAB</t>
  </si>
  <si>
    <t>NEEM TAB</t>
  </si>
  <si>
    <t>60 CA</t>
  </si>
  <si>
    <t>Q-DEE (CRAMPS) TAB</t>
  </si>
  <si>
    <t>08*TAB</t>
  </si>
  <si>
    <t>Q-DEE (IMMUNITY)TAB</t>
  </si>
  <si>
    <t>RESTORE RECOVERY DRINK APPLE</t>
  </si>
  <si>
    <t>200ML</t>
  </si>
  <si>
    <t>7006655</t>
  </si>
  <si>
    <t>RESTORE RECOVERY DRINK ORANGE</t>
  </si>
  <si>
    <t>7006600</t>
  </si>
  <si>
    <t>RUMALAYA FORTE TAB</t>
  </si>
  <si>
    <t>30 TAB</t>
  </si>
  <si>
    <t>RUMALAYA GEL</t>
  </si>
  <si>
    <t>30 GM</t>
  </si>
  <si>
    <t>RUMALAYA GEL 10GM [SMALL]</t>
  </si>
  <si>
    <t>10 GM</t>
  </si>
  <si>
    <t>RUMALAYA LINIMENT 60ML</t>
  </si>
  <si>
    <t>60ML</t>
  </si>
  <si>
    <t>RUMALAYA TAB</t>
  </si>
  <si>
    <t>SHILAJIT CAP</t>
  </si>
  <si>
    <t>60*CAP</t>
  </si>
  <si>
    <t>TENTEX ROYAL CAPS</t>
  </si>
  <si>
    <t>10 CAP</t>
  </si>
  <si>
    <t>TULSI CAP</t>
  </si>
  <si>
    <t>TULSI SYRUP</t>
  </si>
  <si>
    <t/>
  </si>
  <si>
    <t>MR.Balance:        0.00</t>
  </si>
  <si>
    <t>OPENING :   98327.42</t>
  </si>
  <si>
    <t>PURCHASE :   14637.84</t>
  </si>
  <si>
    <t>SALES :   17581.51</t>
  </si>
  <si>
    <t>UC SALE :       0.00</t>
  </si>
  <si>
    <t>CL.STK.:   98841.02</t>
  </si>
  <si>
    <t>Opening On SaleRate:  121882.8</t>
  </si>
  <si>
    <t>Purchase On SaleRate:   16520.</t>
  </si>
  <si>
    <t>Closing On SaleRate:  121222.8</t>
  </si>
  <si>
    <t xml:space="preserve">SUNDERLAL ENTERPRISES                   </t>
  </si>
  <si>
    <t>S.L.HEIGHTS,MAIN BAZZAR PETH,            From : 01/09/26</t>
  </si>
  <si>
    <t>NEAR RAILWAY STATION,URULI KANCHAN,      To : 30/09/26</t>
  </si>
  <si>
    <t>PUNE-412202                             Report Date : 15-Oct-2026</t>
  </si>
  <si>
    <t>STOCK &amp; SALE STATEMENT</t>
  </si>
  <si>
    <t>Company Name : THE HIMALAYA DRUG CO.[OTX]</t>
  </si>
  <si>
    <t>NEAR EXPIRY REPORT</t>
  </si>
  <si>
    <t>SrNo.</t>
  </si>
  <si>
    <t>Product</t>
  </si>
  <si>
    <t>Pack</t>
  </si>
  <si>
    <t>Comp</t>
  </si>
  <si>
    <t>Batch</t>
  </si>
  <si>
    <t>Expiry</t>
  </si>
  <si>
    <t>P.RATE</t>
  </si>
  <si>
    <t>Qty</t>
  </si>
  <si>
    <t>Amount</t>
  </si>
  <si>
    <t xml:space="preserve">HIMCOCID SUSP.[MINT]          </t>
  </si>
  <si>
    <t>HIM</t>
  </si>
  <si>
    <t xml:space="preserve">Grand Total : 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</si>
</sst>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8A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1" xfId="0" applyFont="1" applyBorder="1" applyAlignment="1">
      <alignment horizontal="centerContinuous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6"/>
  <sheetViews>
    <sheetView tabSelected="1" workbookViewId="0">
      <pane ySplit="7" topLeftCell="A8" activePane="bottomLeft" state="frozen"/>
      <selection pane="bottomLeft" activeCell="A8" sqref="A8:U8"/>
    </sheetView>
  </sheetViews>
  <sheetFormatPr defaultRowHeight="15"/>
  <cols>
    <col min="1" max="1" width="33" bestFit="1" customWidth="1"/>
    <col min="2" max="2" width="7.5703125" bestFit="1" customWidth="1"/>
    <col min="3" max="3" width="9.7109375" bestFit="1" customWidth="1"/>
    <col min="4" max="4" width="8.42578125" bestFit="1" customWidth="1"/>
    <col min="5" max="5" width="9.28515625" bestFit="1" customWidth="1"/>
    <col min="6" max="6" width="8" bestFit="1" customWidth="1"/>
    <col min="7" max="7" width="8.85546875" bestFit="1" customWidth="1"/>
    <col min="8" max="8" width="7.42578125" bestFit="1" customWidth="1"/>
    <col min="9" max="9" width="7.28515625" bestFit="1" customWidth="1"/>
    <col min="10" max="10" width="8.140625" bestFit="1" customWidth="1"/>
    <col min="11" max="11" width="8.5703125" bestFit="1" customWidth="1"/>
    <col min="12" max="12" width="7.140625" bestFit="1" customWidth="1"/>
    <col min="13" max="13" width="10.140625" bestFit="1" customWidth="1"/>
    <col min="14" max="14" width="10" bestFit="1" customWidth="1"/>
    <col min="15" max="15" width="9" bestFit="1" customWidth="1"/>
    <col min="16" max="16" width="9.140625" bestFit="1" customWidth="1"/>
    <col min="17" max="17" width="9" bestFit="1" customWidth="1"/>
    <col min="18" max="18" width="10.140625" bestFit="1" customWidth="1"/>
    <col min="19" max="19" width="8.28515625" bestFit="1" customWidth="1"/>
    <col min="20" max="20" width="10.28515625" bestFit="1" customWidth="1"/>
    <col min="21" max="21" width="12.42578125" bestFit="1" customWidth="1"/>
  </cols>
  <sheetData>
    <row r="1" spans="1:21">
      <c r="A1" s="2" t="s">
        <v>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>
      <c r="A2" s="2" t="s">
        <v>69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2" t="s">
        <v>70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>
      <c r="A4" s="2" t="s">
        <v>71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>
      <c r="A5" s="3" t="s">
        <v>72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 t="s">
        <v>73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>
      <c r="A7" s="1" t="str">
        <f>UPPER("name")</f>
        <v>NAME</v>
      </c>
      <c r="B7" s="1" t="str">
        <f>UPPER("pack")</f>
        <v>PACK</v>
      </c>
      <c r="C7" s="1" t="str">
        <f>UPPER("openstk")</f>
        <v>OPENSTK</v>
      </c>
      <c r="D7" s="1" t="str">
        <f>UPPER("purstk")</f>
        <v>PURSTK</v>
      </c>
      <c r="E7" s="1" t="str">
        <f>UPPER("purscm")</f>
        <v>PURSCM</v>
      </c>
      <c r="F7" s="1" t="str">
        <f>UPPER("crestk")</f>
        <v>CRESTK</v>
      </c>
      <c r="G7" s="1" t="str">
        <f>UPPER("salestk")</f>
        <v>SALESTK</v>
      </c>
      <c r="H7" s="1" t="str">
        <f>UPPER("slscm")</f>
        <v>SLSCM</v>
      </c>
      <c r="I7" s="1" t="str">
        <f>UPPER("ucstk")</f>
        <v>UCSTK</v>
      </c>
      <c r="J7" s="1" t="str">
        <f>UPPER("ucscm")</f>
        <v>UCSCM</v>
      </c>
      <c r="K7" s="1" t="str">
        <f>UPPER("clmstk")</f>
        <v>CLMSTK</v>
      </c>
      <c r="L7" s="1" t="str">
        <f>UPPER("dbstk")</f>
        <v>DBSTK</v>
      </c>
      <c r="M7" s="1" t="str">
        <f>UPPER("closestk")</f>
        <v>CLOSESTK</v>
      </c>
      <c r="N7" s="1" t="str">
        <f>UPPER("openval")</f>
        <v>OPENVAL</v>
      </c>
      <c r="O7" s="1" t="str">
        <f>UPPER("purval")</f>
        <v>PURVAL</v>
      </c>
      <c r="P7" s="1" t="str">
        <f>UPPER("saleval")</f>
        <v>SALEVAL</v>
      </c>
      <c r="Q7" s="1" t="str">
        <f>UPPER("clsval")</f>
        <v>CLSVAL</v>
      </c>
      <c r="R7" s="1" t="str">
        <f>UPPER("hsncode")</f>
        <v>HSNCODE</v>
      </c>
      <c r="S7" s="1" t="str">
        <f>UPPER("taxper")</f>
        <v>TAXPER</v>
      </c>
      <c r="T7" s="1" t="str">
        <f>UPPER("slgstval")</f>
        <v>SLGSTVAL</v>
      </c>
      <c r="U7" s="1" t="str">
        <f>UPPER("scmgstval")</f>
        <v>SCMGSTVAL</v>
      </c>
    </row>
    <row r="8" spans="1:21">
      <c r="A8" t="s">
        <v>0</v>
      </c>
      <c r="B8" t="s">
        <v>1</v>
      </c>
      <c r="C8">
        <v>15</v>
      </c>
      <c r="D8">
        <v>0</v>
      </c>
      <c r="E8">
        <v>0</v>
      </c>
      <c r="F8">
        <v>0</v>
      </c>
      <c r="G8">
        <v>2</v>
      </c>
      <c r="H8">
        <v>0</v>
      </c>
      <c r="I8">
        <v>0</v>
      </c>
      <c r="J8">
        <v>0</v>
      </c>
      <c r="K8">
        <v>0</v>
      </c>
      <c r="L8">
        <v>0</v>
      </c>
      <c r="M8">
        <v>13</v>
      </c>
      <c r="N8">
        <v>2358.9</v>
      </c>
      <c r="O8">
        <v>0</v>
      </c>
      <c r="P8">
        <v>396.2</v>
      </c>
      <c r="Q8">
        <v>2044.38</v>
      </c>
      <c r="R8" t="s">
        <v>2</v>
      </c>
      <c r="S8">
        <v>5</v>
      </c>
      <c r="T8">
        <v>416.01</v>
      </c>
      <c r="U8">
        <v>0</v>
      </c>
    </row>
    <row r="9" spans="1:21">
      <c r="A9" t="s">
        <v>3</v>
      </c>
      <c r="B9" t="s">
        <v>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 t="s">
        <v>5</v>
      </c>
      <c r="S9">
        <v>5</v>
      </c>
      <c r="T9">
        <v>0</v>
      </c>
      <c r="U9">
        <v>0</v>
      </c>
    </row>
    <row r="10" spans="1:21">
      <c r="A10" t="s">
        <v>6</v>
      </c>
      <c r="B10" t="s">
        <v>1</v>
      </c>
      <c r="C10">
        <v>7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6</v>
      </c>
      <c r="N10">
        <v>1147.79</v>
      </c>
      <c r="O10">
        <v>0</v>
      </c>
      <c r="P10">
        <v>190.66</v>
      </c>
      <c r="Q10">
        <v>983.82</v>
      </c>
      <c r="R10" t="s">
        <v>2</v>
      </c>
      <c r="S10">
        <v>5</v>
      </c>
      <c r="T10">
        <v>200.19</v>
      </c>
      <c r="U10">
        <v>0</v>
      </c>
    </row>
    <row r="11" spans="1:21">
      <c r="A11" t="s">
        <v>7</v>
      </c>
      <c r="B11" t="s">
        <v>8</v>
      </c>
      <c r="C11">
        <v>0</v>
      </c>
      <c r="D11">
        <v>0</v>
      </c>
      <c r="E11">
        <v>0</v>
      </c>
      <c r="F11">
        <v>5</v>
      </c>
      <c r="G11">
        <v>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571.4</v>
      </c>
      <c r="Q11">
        <v>0</v>
      </c>
      <c r="R11" t="s">
        <v>2</v>
      </c>
      <c r="S11">
        <v>5</v>
      </c>
      <c r="T11">
        <v>599.97</v>
      </c>
      <c r="U11">
        <v>0</v>
      </c>
    </row>
    <row r="12" spans="1:21">
      <c r="A12" t="s">
        <v>9</v>
      </c>
      <c r="B12" t="s">
        <v>10</v>
      </c>
      <c r="C12">
        <v>232</v>
      </c>
      <c r="D12">
        <v>0</v>
      </c>
      <c r="E12">
        <v>0</v>
      </c>
      <c r="F12">
        <v>0</v>
      </c>
      <c r="G12">
        <v>29</v>
      </c>
      <c r="H12">
        <v>0</v>
      </c>
      <c r="I12">
        <v>0</v>
      </c>
      <c r="J12">
        <v>0</v>
      </c>
      <c r="K12">
        <v>0</v>
      </c>
      <c r="L12">
        <v>0</v>
      </c>
      <c r="M12">
        <v>203</v>
      </c>
      <c r="N12">
        <v>25079.200000000001</v>
      </c>
      <c r="O12">
        <v>0</v>
      </c>
      <c r="P12">
        <v>4551.84</v>
      </c>
      <c r="Q12">
        <v>21944.3</v>
      </c>
      <c r="R12" t="s">
        <v>2</v>
      </c>
      <c r="S12">
        <v>5</v>
      </c>
      <c r="T12">
        <v>4779.43</v>
      </c>
      <c r="U12">
        <v>0</v>
      </c>
    </row>
    <row r="13" spans="1:21">
      <c r="A13" t="s">
        <v>11</v>
      </c>
      <c r="B13" t="s">
        <v>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 t="s">
        <v>2</v>
      </c>
      <c r="S13">
        <v>5</v>
      </c>
      <c r="T13">
        <v>0</v>
      </c>
      <c r="U13">
        <v>0</v>
      </c>
    </row>
    <row r="14" spans="1:21">
      <c r="A14" t="s">
        <v>12</v>
      </c>
      <c r="B14" t="s">
        <v>1</v>
      </c>
      <c r="C14">
        <v>57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56</v>
      </c>
      <c r="N14">
        <v>10061.07</v>
      </c>
      <c r="O14">
        <v>0</v>
      </c>
      <c r="P14">
        <v>198.1</v>
      </c>
      <c r="Q14">
        <v>9884.56</v>
      </c>
      <c r="R14" t="s">
        <v>2</v>
      </c>
      <c r="S14">
        <v>5</v>
      </c>
      <c r="T14">
        <v>208.01</v>
      </c>
      <c r="U14">
        <v>0</v>
      </c>
    </row>
    <row r="15" spans="1:21">
      <c r="A15" t="s">
        <v>13</v>
      </c>
      <c r="B15" t="s">
        <v>8</v>
      </c>
      <c r="C15">
        <v>0</v>
      </c>
      <c r="D15">
        <v>56</v>
      </c>
      <c r="E15">
        <v>0</v>
      </c>
      <c r="F15">
        <v>0</v>
      </c>
      <c r="G15">
        <v>12</v>
      </c>
      <c r="H15">
        <v>0</v>
      </c>
      <c r="I15">
        <v>0</v>
      </c>
      <c r="J15">
        <v>0</v>
      </c>
      <c r="K15">
        <v>0</v>
      </c>
      <c r="L15">
        <v>0</v>
      </c>
      <c r="M15">
        <v>44</v>
      </c>
      <c r="N15">
        <v>0</v>
      </c>
      <c r="O15">
        <v>5484.64</v>
      </c>
      <c r="P15">
        <v>1325.76</v>
      </c>
      <c r="Q15">
        <v>3919.52</v>
      </c>
      <c r="R15" t="s">
        <v>2</v>
      </c>
      <c r="S15">
        <v>5</v>
      </c>
      <c r="T15">
        <v>1392.05</v>
      </c>
      <c r="U15">
        <v>0</v>
      </c>
    </row>
    <row r="16" spans="1:21">
      <c r="A16" t="s">
        <v>14</v>
      </c>
      <c r="B16" t="s">
        <v>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 t="s">
        <v>2</v>
      </c>
      <c r="S16">
        <v>5</v>
      </c>
      <c r="T16">
        <v>0</v>
      </c>
      <c r="U16">
        <v>0</v>
      </c>
    </row>
    <row r="17" spans="1:21">
      <c r="A17" t="s">
        <v>15</v>
      </c>
      <c r="B17" t="s">
        <v>16</v>
      </c>
      <c r="C17">
        <v>45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45</v>
      </c>
      <c r="N17">
        <v>3829.5</v>
      </c>
      <c r="O17">
        <v>0</v>
      </c>
      <c r="P17">
        <v>0</v>
      </c>
      <c r="Q17">
        <v>3829.5</v>
      </c>
      <c r="R17" t="s">
        <v>2</v>
      </c>
      <c r="S17">
        <v>5</v>
      </c>
      <c r="T17">
        <v>0</v>
      </c>
      <c r="U17">
        <v>0</v>
      </c>
    </row>
    <row r="18" spans="1:21">
      <c r="A18" t="s">
        <v>17</v>
      </c>
      <c r="B18" t="s">
        <v>18</v>
      </c>
      <c r="C18">
        <v>0</v>
      </c>
      <c r="D18">
        <v>56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56</v>
      </c>
      <c r="N18">
        <v>0</v>
      </c>
      <c r="O18">
        <v>4728.08</v>
      </c>
      <c r="P18">
        <v>0</v>
      </c>
      <c r="Q18">
        <v>4728.08</v>
      </c>
      <c r="R18" t="s">
        <v>19</v>
      </c>
      <c r="S18">
        <v>5</v>
      </c>
      <c r="T18">
        <v>0</v>
      </c>
      <c r="U18">
        <v>0</v>
      </c>
    </row>
    <row r="19" spans="1:21">
      <c r="A19" t="s">
        <v>20</v>
      </c>
      <c r="B19" t="s">
        <v>21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 t="s">
        <v>2</v>
      </c>
      <c r="S19">
        <v>5</v>
      </c>
      <c r="T19">
        <v>0</v>
      </c>
      <c r="U19">
        <v>0</v>
      </c>
    </row>
    <row r="20" spans="1:21">
      <c r="A20" t="s">
        <v>22</v>
      </c>
      <c r="B20" t="s">
        <v>23</v>
      </c>
      <c r="C20">
        <v>14</v>
      </c>
      <c r="D20">
        <v>0</v>
      </c>
      <c r="E20">
        <v>0</v>
      </c>
      <c r="F20">
        <v>0</v>
      </c>
      <c r="G20">
        <v>4</v>
      </c>
      <c r="H20">
        <v>0</v>
      </c>
      <c r="I20">
        <v>0</v>
      </c>
      <c r="J20">
        <v>0</v>
      </c>
      <c r="K20">
        <v>0</v>
      </c>
      <c r="L20">
        <v>0</v>
      </c>
      <c r="M20">
        <v>10</v>
      </c>
      <c r="N20">
        <v>3252.06</v>
      </c>
      <c r="O20">
        <v>0</v>
      </c>
      <c r="P20">
        <v>1204.6400000000001</v>
      </c>
      <c r="Q20">
        <v>2322.9</v>
      </c>
      <c r="R20" t="s">
        <v>2</v>
      </c>
      <c r="S20">
        <v>5</v>
      </c>
      <c r="T20">
        <v>1279.99</v>
      </c>
      <c r="U20">
        <v>0</v>
      </c>
    </row>
    <row r="21" spans="1:21">
      <c r="A21" t="s">
        <v>24</v>
      </c>
      <c r="B21" t="s">
        <v>25</v>
      </c>
      <c r="C21">
        <v>2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174.94</v>
      </c>
      <c r="O21">
        <v>0</v>
      </c>
      <c r="P21">
        <v>106.67</v>
      </c>
      <c r="Q21">
        <v>87.47</v>
      </c>
      <c r="R21" t="s">
        <v>2</v>
      </c>
      <c r="S21">
        <v>5</v>
      </c>
      <c r="T21">
        <v>112</v>
      </c>
      <c r="U21">
        <v>0</v>
      </c>
    </row>
    <row r="22" spans="1:21">
      <c r="A22" t="s">
        <v>26</v>
      </c>
      <c r="B22" t="s">
        <v>16</v>
      </c>
      <c r="C22">
        <v>43</v>
      </c>
      <c r="D22">
        <v>0</v>
      </c>
      <c r="E22">
        <v>0</v>
      </c>
      <c r="F22">
        <v>0</v>
      </c>
      <c r="G22">
        <v>6</v>
      </c>
      <c r="H22">
        <v>0</v>
      </c>
      <c r="I22">
        <v>0</v>
      </c>
      <c r="J22">
        <v>0</v>
      </c>
      <c r="K22">
        <v>0</v>
      </c>
      <c r="L22">
        <v>0</v>
      </c>
      <c r="M22">
        <v>37</v>
      </c>
      <c r="N22">
        <v>3301.54</v>
      </c>
      <c r="O22">
        <v>0</v>
      </c>
      <c r="P22">
        <v>576</v>
      </c>
      <c r="Q22">
        <v>2840.86</v>
      </c>
      <c r="R22" t="s">
        <v>2</v>
      </c>
      <c r="S22">
        <v>5</v>
      </c>
      <c r="T22">
        <v>604.79999999999995</v>
      </c>
      <c r="U22">
        <v>0</v>
      </c>
    </row>
    <row r="23" spans="1:21">
      <c r="A23" t="s">
        <v>27</v>
      </c>
      <c r="B23" t="s">
        <v>16</v>
      </c>
      <c r="C23">
        <v>69</v>
      </c>
      <c r="D23">
        <v>56</v>
      </c>
      <c r="E23">
        <v>0</v>
      </c>
      <c r="F23">
        <v>0</v>
      </c>
      <c r="G23">
        <v>32</v>
      </c>
      <c r="H23">
        <v>0</v>
      </c>
      <c r="I23">
        <v>0</v>
      </c>
      <c r="J23">
        <v>0</v>
      </c>
      <c r="K23">
        <v>0</v>
      </c>
      <c r="L23">
        <v>0</v>
      </c>
      <c r="M23">
        <v>93</v>
      </c>
      <c r="N23">
        <v>5452.38</v>
      </c>
      <c r="O23">
        <v>4425.12</v>
      </c>
      <c r="P23">
        <v>2856.96</v>
      </c>
      <c r="Q23">
        <v>7348.86</v>
      </c>
      <c r="R23" t="s">
        <v>2</v>
      </c>
      <c r="S23">
        <v>5</v>
      </c>
      <c r="T23">
        <v>2999.81</v>
      </c>
      <c r="U23">
        <v>0</v>
      </c>
    </row>
    <row r="24" spans="1:21">
      <c r="A24" t="s">
        <v>28</v>
      </c>
      <c r="B24" t="s">
        <v>29</v>
      </c>
      <c r="C24">
        <v>2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384.02</v>
      </c>
      <c r="O24">
        <v>0</v>
      </c>
      <c r="P24">
        <v>213.34</v>
      </c>
      <c r="Q24">
        <v>192.01</v>
      </c>
      <c r="R24" t="s">
        <v>2</v>
      </c>
      <c r="S24">
        <v>5</v>
      </c>
      <c r="T24">
        <v>224.01</v>
      </c>
      <c r="U24">
        <v>0</v>
      </c>
    </row>
    <row r="25" spans="1:21">
      <c r="A25" t="s">
        <v>30</v>
      </c>
      <c r="B25" t="s">
        <v>29</v>
      </c>
      <c r="C25">
        <v>128</v>
      </c>
      <c r="D25">
        <v>0</v>
      </c>
      <c r="E25">
        <v>0</v>
      </c>
      <c r="F25">
        <v>0</v>
      </c>
      <c r="G25">
        <v>21</v>
      </c>
      <c r="H25">
        <v>1</v>
      </c>
      <c r="I25">
        <v>0</v>
      </c>
      <c r="J25">
        <v>0</v>
      </c>
      <c r="K25">
        <v>0</v>
      </c>
      <c r="L25">
        <v>0</v>
      </c>
      <c r="M25">
        <v>106</v>
      </c>
      <c r="N25">
        <v>2457.6</v>
      </c>
      <c r="O25">
        <v>0</v>
      </c>
      <c r="P25">
        <v>448.14</v>
      </c>
      <c r="Q25">
        <v>2035.2</v>
      </c>
      <c r="R25" t="s">
        <v>2</v>
      </c>
      <c r="S25">
        <v>5</v>
      </c>
      <c r="T25">
        <v>470.55</v>
      </c>
      <c r="U25">
        <v>22.41</v>
      </c>
    </row>
    <row r="26" spans="1:21">
      <c r="A26" t="s">
        <v>31</v>
      </c>
      <c r="B26" t="s">
        <v>32</v>
      </c>
      <c r="C26">
        <v>129</v>
      </c>
      <c r="D26">
        <v>0</v>
      </c>
      <c r="E26">
        <v>0</v>
      </c>
      <c r="F26">
        <v>0</v>
      </c>
      <c r="G26">
        <v>14</v>
      </c>
      <c r="H26">
        <v>1</v>
      </c>
      <c r="I26">
        <v>0</v>
      </c>
      <c r="J26">
        <v>0</v>
      </c>
      <c r="K26">
        <v>0</v>
      </c>
      <c r="L26">
        <v>0</v>
      </c>
      <c r="M26">
        <v>114</v>
      </c>
      <c r="N26">
        <v>2476.8000000000002</v>
      </c>
      <c r="O26">
        <v>0</v>
      </c>
      <c r="P26">
        <v>298.76</v>
      </c>
      <c r="Q26">
        <v>2188.8000000000002</v>
      </c>
      <c r="R26" t="s">
        <v>2</v>
      </c>
      <c r="S26">
        <v>5</v>
      </c>
      <c r="T26">
        <v>313.7</v>
      </c>
      <c r="U26">
        <v>22.41</v>
      </c>
    </row>
    <row r="27" spans="1:21">
      <c r="A27" t="s">
        <v>33</v>
      </c>
      <c r="B27" t="s">
        <v>34</v>
      </c>
      <c r="C27">
        <v>51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51</v>
      </c>
      <c r="N27">
        <v>9002.01</v>
      </c>
      <c r="O27">
        <v>0</v>
      </c>
      <c r="P27">
        <v>0</v>
      </c>
      <c r="Q27">
        <v>9002.01</v>
      </c>
      <c r="R27" t="s">
        <v>2</v>
      </c>
      <c r="S27">
        <v>5</v>
      </c>
      <c r="T27">
        <v>0</v>
      </c>
      <c r="U27">
        <v>0</v>
      </c>
    </row>
    <row r="28" spans="1:21">
      <c r="A28" t="s">
        <v>35</v>
      </c>
      <c r="B28" t="s">
        <v>36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 t="s">
        <v>2</v>
      </c>
      <c r="S28">
        <v>5</v>
      </c>
      <c r="T28">
        <v>0</v>
      </c>
      <c r="U28">
        <v>0</v>
      </c>
    </row>
    <row r="29" spans="1:21">
      <c r="A29" t="s">
        <v>37</v>
      </c>
      <c r="B29" t="s">
        <v>36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 t="s">
        <v>2</v>
      </c>
      <c r="S29">
        <v>5</v>
      </c>
      <c r="T29">
        <v>0</v>
      </c>
      <c r="U29">
        <v>0</v>
      </c>
    </row>
    <row r="30" spans="1:21">
      <c r="A30" t="s">
        <v>38</v>
      </c>
      <c r="B30" t="s">
        <v>39</v>
      </c>
      <c r="C30">
        <v>60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60</v>
      </c>
      <c r="N30">
        <v>1640.4</v>
      </c>
      <c r="O30">
        <v>0</v>
      </c>
      <c r="P30">
        <v>0</v>
      </c>
      <c r="Q30">
        <v>1640.4</v>
      </c>
      <c r="R30" t="s">
        <v>40</v>
      </c>
      <c r="S30">
        <v>5</v>
      </c>
      <c r="T30">
        <v>0</v>
      </c>
      <c r="U30">
        <v>0</v>
      </c>
    </row>
    <row r="31" spans="1:21">
      <c r="A31" t="s">
        <v>41</v>
      </c>
      <c r="B31" t="s">
        <v>39</v>
      </c>
      <c r="C31">
        <v>48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48</v>
      </c>
      <c r="N31">
        <v>1312.32</v>
      </c>
      <c r="O31">
        <v>0</v>
      </c>
      <c r="P31">
        <v>0</v>
      </c>
      <c r="Q31">
        <v>1312.32</v>
      </c>
      <c r="R31" t="s">
        <v>42</v>
      </c>
      <c r="S31">
        <v>5</v>
      </c>
      <c r="T31">
        <v>0</v>
      </c>
      <c r="U31">
        <v>0</v>
      </c>
    </row>
    <row r="32" spans="1:21">
      <c r="A32" t="s">
        <v>43</v>
      </c>
      <c r="B32" t="s">
        <v>44</v>
      </c>
      <c r="C32">
        <v>62</v>
      </c>
      <c r="D32">
        <v>0</v>
      </c>
      <c r="E32">
        <v>0</v>
      </c>
      <c r="F32">
        <v>0</v>
      </c>
      <c r="G32">
        <v>2</v>
      </c>
      <c r="H32">
        <v>0</v>
      </c>
      <c r="I32">
        <v>0</v>
      </c>
      <c r="J32">
        <v>0</v>
      </c>
      <c r="K32">
        <v>0</v>
      </c>
      <c r="L32">
        <v>0</v>
      </c>
      <c r="M32">
        <v>60</v>
      </c>
      <c r="N32">
        <v>8569.64</v>
      </c>
      <c r="O32">
        <v>0</v>
      </c>
      <c r="P32">
        <v>348.96</v>
      </c>
      <c r="Q32">
        <v>8293.2000000000007</v>
      </c>
      <c r="R32" t="s">
        <v>2</v>
      </c>
      <c r="S32">
        <v>5</v>
      </c>
      <c r="T32">
        <v>366.41</v>
      </c>
      <c r="U32">
        <v>0</v>
      </c>
    </row>
    <row r="33" spans="1:21">
      <c r="A33" t="s">
        <v>45</v>
      </c>
      <c r="B33" t="s">
        <v>46</v>
      </c>
      <c r="C33">
        <v>76</v>
      </c>
      <c r="D33">
        <v>0</v>
      </c>
      <c r="E33">
        <v>0</v>
      </c>
      <c r="F33">
        <v>0</v>
      </c>
      <c r="G33">
        <v>8</v>
      </c>
      <c r="H33">
        <v>0</v>
      </c>
      <c r="I33">
        <v>0</v>
      </c>
      <c r="J33">
        <v>0</v>
      </c>
      <c r="K33">
        <v>0</v>
      </c>
      <c r="L33">
        <v>0</v>
      </c>
      <c r="M33">
        <v>68</v>
      </c>
      <c r="N33">
        <v>6916</v>
      </c>
      <c r="O33">
        <v>0</v>
      </c>
      <c r="P33">
        <v>853.28</v>
      </c>
      <c r="Q33">
        <v>6188</v>
      </c>
      <c r="R33" t="s">
        <v>2</v>
      </c>
      <c r="S33">
        <v>5</v>
      </c>
      <c r="T33">
        <v>895.94</v>
      </c>
      <c r="U33">
        <v>0</v>
      </c>
    </row>
    <row r="34" spans="1:21">
      <c r="A34" t="s">
        <v>47</v>
      </c>
      <c r="B34" t="s">
        <v>48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 t="s">
        <v>2</v>
      </c>
      <c r="S34">
        <v>5</v>
      </c>
      <c r="T34">
        <v>0</v>
      </c>
      <c r="U34">
        <v>0</v>
      </c>
    </row>
    <row r="35" spans="1:21">
      <c r="A35" t="s">
        <v>49</v>
      </c>
      <c r="B35" t="s">
        <v>50</v>
      </c>
      <c r="C35">
        <v>10</v>
      </c>
      <c r="D35">
        <v>0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9</v>
      </c>
      <c r="N35">
        <v>1044.2</v>
      </c>
      <c r="O35">
        <v>0</v>
      </c>
      <c r="P35">
        <v>128</v>
      </c>
      <c r="Q35">
        <v>939.78</v>
      </c>
      <c r="R35" t="s">
        <v>2</v>
      </c>
      <c r="S35">
        <v>5</v>
      </c>
      <c r="T35">
        <v>134.4</v>
      </c>
      <c r="U35">
        <v>0</v>
      </c>
    </row>
    <row r="36" spans="1:21">
      <c r="A36" t="s">
        <v>51</v>
      </c>
      <c r="B36" t="s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 t="s">
        <v>2</v>
      </c>
      <c r="S36">
        <v>5</v>
      </c>
      <c r="T36">
        <v>0</v>
      </c>
      <c r="U36">
        <v>0</v>
      </c>
    </row>
    <row r="37" spans="1:21">
      <c r="A37" t="s">
        <v>52</v>
      </c>
      <c r="B37" t="s">
        <v>53</v>
      </c>
      <c r="C37">
        <v>27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27</v>
      </c>
      <c r="N37">
        <v>6943.05</v>
      </c>
      <c r="O37">
        <v>0</v>
      </c>
      <c r="P37">
        <v>0</v>
      </c>
      <c r="Q37">
        <v>6943.05</v>
      </c>
      <c r="R37" t="s">
        <v>2</v>
      </c>
      <c r="S37">
        <v>5</v>
      </c>
      <c r="T37">
        <v>0</v>
      </c>
      <c r="U37">
        <v>0</v>
      </c>
    </row>
    <row r="38" spans="1:21">
      <c r="A38" t="s">
        <v>54</v>
      </c>
      <c r="B38" t="s">
        <v>55</v>
      </c>
      <c r="C38">
        <v>17</v>
      </c>
      <c r="D38">
        <v>0</v>
      </c>
      <c r="E38">
        <v>0</v>
      </c>
      <c r="F38">
        <v>0</v>
      </c>
      <c r="G38">
        <v>16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2924</v>
      </c>
      <c r="O38">
        <v>0</v>
      </c>
      <c r="P38">
        <v>3312.8</v>
      </c>
      <c r="Q38">
        <v>172</v>
      </c>
      <c r="R38" t="s">
        <v>2</v>
      </c>
      <c r="S38">
        <v>5</v>
      </c>
      <c r="T38">
        <v>3596.88</v>
      </c>
      <c r="U38">
        <v>0</v>
      </c>
    </row>
    <row r="39" spans="1:21">
      <c r="A39" t="s">
        <v>56</v>
      </c>
      <c r="B39" t="s">
        <v>4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 t="s">
        <v>2</v>
      </c>
      <c r="S39">
        <v>5</v>
      </c>
      <c r="T39">
        <v>0</v>
      </c>
      <c r="U39">
        <v>0</v>
      </c>
    </row>
    <row r="40" spans="1:21">
      <c r="A40" t="s">
        <v>57</v>
      </c>
      <c r="B40" t="s">
        <v>39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 t="s">
        <v>2</v>
      </c>
      <c r="S40">
        <v>5</v>
      </c>
      <c r="T40">
        <v>0</v>
      </c>
      <c r="U40">
        <v>0</v>
      </c>
    </row>
    <row r="41" spans="1:21">
      <c r="A41" t="s">
        <v>58</v>
      </c>
      <c r="B41" t="s">
        <v>58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 t="s">
        <v>58</v>
      </c>
      <c r="S41">
        <v>0</v>
      </c>
      <c r="T41">
        <v>0</v>
      </c>
      <c r="U41">
        <v>0</v>
      </c>
    </row>
    <row r="42" spans="1:21">
      <c r="A42" t="s">
        <v>58</v>
      </c>
      <c r="B42" t="s">
        <v>58</v>
      </c>
      <c r="C42">
        <v>1094</v>
      </c>
      <c r="D42">
        <v>168</v>
      </c>
      <c r="E42">
        <v>0</v>
      </c>
      <c r="F42">
        <v>5</v>
      </c>
      <c r="G42">
        <v>156</v>
      </c>
      <c r="H42">
        <v>0</v>
      </c>
      <c r="I42">
        <v>0</v>
      </c>
      <c r="J42">
        <v>0</v>
      </c>
      <c r="K42">
        <v>0</v>
      </c>
      <c r="L42">
        <v>0</v>
      </c>
      <c r="M42">
        <v>1109</v>
      </c>
      <c r="N42">
        <v>98327.42</v>
      </c>
      <c r="O42">
        <v>14637.84</v>
      </c>
      <c r="P42">
        <v>17581.509999999998</v>
      </c>
      <c r="Q42">
        <v>98841.02</v>
      </c>
      <c r="R42" t="s">
        <v>58</v>
      </c>
      <c r="S42">
        <v>0</v>
      </c>
      <c r="T42">
        <v>0</v>
      </c>
      <c r="U42">
        <v>0</v>
      </c>
    </row>
    <row r="43" spans="1:21">
      <c r="A43" t="s">
        <v>59</v>
      </c>
      <c r="B43" t="s">
        <v>58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 t="s">
        <v>58</v>
      </c>
      <c r="S43">
        <v>0</v>
      </c>
      <c r="T43">
        <v>0</v>
      </c>
      <c r="U43">
        <v>0</v>
      </c>
    </row>
    <row r="44" spans="1:21">
      <c r="A44" t="s">
        <v>58</v>
      </c>
      <c r="B44" t="s">
        <v>58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 t="s">
        <v>58</v>
      </c>
      <c r="S44">
        <v>0</v>
      </c>
      <c r="T44">
        <v>0</v>
      </c>
      <c r="U44">
        <v>0</v>
      </c>
    </row>
    <row r="45" spans="1:21">
      <c r="A45" t="s">
        <v>60</v>
      </c>
      <c r="B45" t="s">
        <v>58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 t="s">
        <v>58</v>
      </c>
      <c r="S45">
        <v>0</v>
      </c>
      <c r="T45">
        <v>0</v>
      </c>
      <c r="U45">
        <v>0</v>
      </c>
    </row>
    <row r="46" spans="1:21">
      <c r="A46" t="s">
        <v>61</v>
      </c>
      <c r="B46" t="s">
        <v>58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 t="s">
        <v>58</v>
      </c>
      <c r="S46">
        <v>0</v>
      </c>
      <c r="T46">
        <v>0</v>
      </c>
      <c r="U46">
        <v>0</v>
      </c>
    </row>
    <row r="47" spans="1:21">
      <c r="A47" t="s">
        <v>62</v>
      </c>
      <c r="B47" t="s">
        <v>58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 t="s">
        <v>58</v>
      </c>
      <c r="S47">
        <v>0</v>
      </c>
      <c r="T47">
        <v>0</v>
      </c>
      <c r="U47">
        <v>0</v>
      </c>
    </row>
    <row r="48" spans="1:21">
      <c r="A48" t="s">
        <v>63</v>
      </c>
      <c r="B48" t="s">
        <v>58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 t="s">
        <v>58</v>
      </c>
      <c r="S48">
        <v>0</v>
      </c>
      <c r="T48">
        <v>0</v>
      </c>
      <c r="U48">
        <v>0</v>
      </c>
    </row>
    <row r="49" spans="1:21">
      <c r="A49" t="s">
        <v>64</v>
      </c>
      <c r="B49" t="s">
        <v>58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 t="s">
        <v>58</v>
      </c>
      <c r="S49">
        <v>0</v>
      </c>
      <c r="T49">
        <v>0</v>
      </c>
      <c r="U49">
        <v>0</v>
      </c>
    </row>
    <row r="50" spans="1:21">
      <c r="A50" t="s">
        <v>65</v>
      </c>
      <c r="B50" t="s">
        <v>58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 t="s">
        <v>58</v>
      </c>
      <c r="S50">
        <v>0</v>
      </c>
      <c r="T50">
        <v>0</v>
      </c>
      <c r="U50">
        <v>0</v>
      </c>
    </row>
    <row r="51" spans="1:21">
      <c r="A51" t="s">
        <v>66</v>
      </c>
      <c r="B51" t="s">
        <v>58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 t="s">
        <v>58</v>
      </c>
      <c r="S51">
        <v>0</v>
      </c>
      <c r="T51">
        <v>0</v>
      </c>
      <c r="U51">
        <v>0</v>
      </c>
    </row>
    <row r="52" spans="1:21">
      <c r="A52" t="s">
        <v>67</v>
      </c>
      <c r="B52" t="s">
        <v>58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 t="s">
        <v>58</v>
      </c>
      <c r="S52">
        <v>0</v>
      </c>
      <c r="T52">
        <v>0</v>
      </c>
      <c r="U52">
        <v>0</v>
      </c>
    </row>
    <row r="53" spans="1:21">
      <c r="A53" t="s">
        <v>58</v>
      </c>
      <c r="B53" t="s">
        <v>58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 t="s">
        <v>58</v>
      </c>
      <c r="S53">
        <v>0</v>
      </c>
      <c r="T53">
        <v>0</v>
      </c>
      <c r="U53">
        <v>0</v>
      </c>
    </row>
    <row r="70" spans="1:9">
      <c r="A70" s="2" t="s">
        <v>74</v>
      </c>
      <c r="B70" s="2"/>
      <c r="C70" s="2"/>
      <c r="D70" s="2"/>
      <c r="E70" s="2"/>
      <c r="F70" s="2"/>
      <c r="G70" s="2"/>
      <c r="H70" s="2"/>
      <c r="I70" s="2"/>
    </row>
    <row r="71" spans="1:9">
      <c r="A71" s="2"/>
      <c r="B71" s="2"/>
      <c r="C71" s="2"/>
      <c r="D71" s="2"/>
      <c r="E71" s="2"/>
      <c r="F71" s="2"/>
      <c r="G71" s="2"/>
      <c r="H71" s="2"/>
      <c r="I71" s="2"/>
    </row>
    <row r="72" spans="1:9">
      <c r="A72" s="1" t="s">
        <v>75</v>
      </c>
      <c r="B72" s="1" t="s">
        <v>76</v>
      </c>
      <c r="C72" s="1" t="s">
        <v>77</v>
      </c>
      <c r="D72" s="1" t="s">
        <v>78</v>
      </c>
      <c r="E72" s="1" t="s">
        <v>79</v>
      </c>
      <c r="F72" s="1" t="s">
        <v>80</v>
      </c>
      <c r="G72" s="1" t="s">
        <v>81</v>
      </c>
      <c r="H72" s="1" t="s">
        <v>82</v>
      </c>
      <c r="I72" s="1" t="s">
        <v>83</v>
      </c>
    </row>
    <row r="73" spans="1:9">
      <c r="A73">
        <v>1</v>
      </c>
      <c r="B73" t="s">
        <v>84</v>
      </c>
      <c r="C73" t="s">
        <v>8</v>
      </c>
      <c r="D73" t="s">
        <v>85</v>
      </c>
      <c r="E73">
        <v>202401086</v>
      </c>
      <c r="F73" s="4">
        <v>46356</v>
      </c>
      <c r="G73">
        <v>89.08</v>
      </c>
      <c r="H73">
        <v>1</v>
      </c>
      <c r="I73">
        <v>89.08</v>
      </c>
    </row>
    <row r="76" spans="1:9">
      <c r="G76" t="s">
        <v>86</v>
      </c>
      <c r="I76">
        <v>89.08</v>
      </c>
    </row>
  </sheetData>
  <mergeCells count="8">
    <mergeCell ref="A6:U6"/>
    <mergeCell ref="A70:I70"/>
    <mergeCell ref="A71:I71"/>
    <mergeCell ref="A1:U1"/>
    <mergeCell ref="A2:U2"/>
    <mergeCell ref="A3:U3"/>
    <mergeCell ref="A4:U4"/>
    <mergeCell ref="A5:U5"/>
  </mergeCells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XLS985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Sunderlal Enterprise</cp:lastModifiedBy>
  <dcterms:created xsi:type="dcterms:W3CDTF">2026-10-01T04:04:11Z</dcterms:created>
  <dcterms:modified xsi:type="dcterms:W3CDTF">2026-10-01T04:04:12Z</dcterms:modified>
</cp:coreProperties>
</file>