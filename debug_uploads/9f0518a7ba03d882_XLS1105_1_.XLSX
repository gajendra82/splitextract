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VAEXCL\"/>
    </mc:Choice>
  </mc:AlternateContent>
  <bookViews>
    <workbookView xWindow="0" yWindow="0" windowWidth="7068" windowHeight="4608"/>
  </bookViews>
  <sheets>
    <sheet name="XLS1105" sheetId="1" r:id="rId1"/>
  </sheets>
  <calcPr calcId="152511"/>
</workbook>
</file>

<file path=xl/calcChain.xml><?xml version="1.0" encoding="utf-8"?>
<calcChain xmlns="http://schemas.openxmlformats.org/spreadsheetml/2006/main">
  <c r="U7" i="1" l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<sst xmlns="http://schemas.openxmlformats.org/spreadsheetml/2006/main" count="173" uniqueCount="89">
  <si>
    <t>BONISPAZ DROP</t>
  </si>
  <si>
    <t>20 ML</t>
  </si>
  <si>
    <t>30049099</t>
  </si>
  <si>
    <t>BONNISAN DROPS</t>
  </si>
  <si>
    <t>30 ML</t>
  </si>
  <si>
    <t>BONNISAN SYP</t>
  </si>
  <si>
    <t>100 ML</t>
  </si>
  <si>
    <t>BRESOL NS SALINE NASAL</t>
  </si>
  <si>
    <t>15 ML</t>
  </si>
  <si>
    <t>BRESOL SYP</t>
  </si>
  <si>
    <t>200 ML</t>
  </si>
  <si>
    <t>BRESOL TAB</t>
  </si>
  <si>
    <t>60 TAB</t>
  </si>
  <si>
    <t>CYSTONE FORTE  TAB</t>
  </si>
  <si>
    <t>30 TAB</t>
  </si>
  <si>
    <t>CYSTONE SYRUP</t>
  </si>
  <si>
    <t>30049011</t>
  </si>
  <si>
    <t>CYSTONE TAB</t>
  </si>
  <si>
    <t>EVACARE FOTRE LIQ</t>
  </si>
  <si>
    <t>EVECARE CAP</t>
  </si>
  <si>
    <t>30 CAP</t>
  </si>
  <si>
    <t>EVECARE FORTE TAB</t>
  </si>
  <si>
    <t>10TAB</t>
  </si>
  <si>
    <t>EVECARE SYP 200 ML</t>
  </si>
  <si>
    <t>EVECARE SYP 400ML</t>
  </si>
  <si>
    <t>400 ML</t>
  </si>
  <si>
    <t>GERIFORTE SYP</t>
  </si>
  <si>
    <t>GERIFORTE TAB</t>
  </si>
  <si>
    <t>HIMPLASIA</t>
  </si>
  <si>
    <t>20TAB</t>
  </si>
  <si>
    <t>HIORA GA  GEL</t>
  </si>
  <si>
    <t>HIORA K TOOTHPASE</t>
  </si>
  <si>
    <t>50 GM</t>
  </si>
  <si>
    <t>33061020</t>
  </si>
  <si>
    <t>HIORA K TOTHPASTE</t>
  </si>
  <si>
    <t>100 GM</t>
  </si>
  <si>
    <t>HIORA SG GEL</t>
  </si>
  <si>
    <t>10 GM</t>
  </si>
  <si>
    <t>IMMUSANTE TAB</t>
  </si>
  <si>
    <t>20</t>
  </si>
  <si>
    <t>LIV 52 DROP</t>
  </si>
  <si>
    <t>60 ML</t>
  </si>
  <si>
    <t>LIV 52 DS SYP</t>
  </si>
  <si>
    <t>LIV 52 DS SYR</t>
  </si>
  <si>
    <t>LIV 52 DS TAB</t>
  </si>
  <si>
    <t>100 TA</t>
  </si>
  <si>
    <t>LUKOL SYRUP</t>
  </si>
  <si>
    <t>LUKOL TAB</t>
  </si>
  <si>
    <t>MENTAT SYP</t>
  </si>
  <si>
    <t>MENTAT TAB</t>
  </si>
  <si>
    <t>PLATENZA SYP</t>
  </si>
  <si>
    <t/>
  </si>
  <si>
    <t>PLATENZA TAB</t>
  </si>
  <si>
    <t>15TAB</t>
  </si>
  <si>
    <t>SEPTILIN SYP</t>
  </si>
  <si>
    <t>SEPTILIN TAB</t>
  </si>
  <si>
    <t>SPEMAN TAB</t>
  </si>
  <si>
    <t>STYPLON TAB</t>
  </si>
  <si>
    <t>TENTEX ROYAL CAP</t>
  </si>
  <si>
    <t>TONE SYP</t>
  </si>
  <si>
    <t>50 ML</t>
  </si>
  <si>
    <t>V GEL</t>
  </si>
  <si>
    <t>30 GM</t>
  </si>
  <si>
    <t>MR.Balance:        0.00</t>
  </si>
  <si>
    <t>OPENING :  271614.88</t>
  </si>
  <si>
    <t>PURCHASE :       0.00</t>
  </si>
  <si>
    <t>SALES :   99380.14</t>
  </si>
  <si>
    <t>UC SALE :       0.00</t>
  </si>
  <si>
    <t>CL.STK.:  182936.89</t>
  </si>
  <si>
    <t>Opening On SaleRate:  306872.9</t>
  </si>
  <si>
    <t>Purchase On SaleRate:       0.</t>
  </si>
  <si>
    <t>Closing On SaleRate:  206410.6</t>
  </si>
  <si>
    <t xml:space="preserve">SANJIVANI AGENCIES                      </t>
  </si>
  <si>
    <t>C.S.NO-3780,H.NO-3587,GALA NO-2,         From : 01/09/26</t>
  </si>
  <si>
    <t>SANJIVANI PALACE,MANIK CHOWK,            To : 30/09/26</t>
  </si>
  <si>
    <t>AHILYANAGAR-414001                      Report Date : 28-Mar-2027</t>
  </si>
  <si>
    <t>STOCK &amp; SALE STATEMENT</t>
  </si>
  <si>
    <t>Company Name : HIMALAYA  B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</si>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</sst>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workbookViewId="0">
      <pane ySplit="7" topLeftCell="A8" activePane="bottomLeft" state="frozen"/>
      <selection pane="bottomLeft" activeCell="A8" sqref="A8:U8"/>
    </sheetView>
  </sheetViews>
  <sheetFormatPr defaultRowHeight="14.4" x14ac:dyDescent="0.3"/>
  <cols>
    <col min="1" max="1" width="27.44140625" bestFit="1" customWidth="1"/>
    <col min="2" max="2" width="7.33203125" bestFit="1" customWidth="1"/>
    <col min="3" max="3" width="9.44140625" bestFit="1" customWidth="1"/>
    <col min="4" max="4" width="8.21875" bestFit="1" customWidth="1"/>
    <col min="5" max="5" width="8.88671875" bestFit="1" customWidth="1"/>
    <col min="6" max="6" width="7.77734375" bestFit="1" customWidth="1"/>
    <col min="7" max="7" width="8.6640625" bestFit="1" customWidth="1"/>
    <col min="8" max="8" width="7.109375" bestFit="1" customWidth="1"/>
    <col min="9" max="9" width="7" bestFit="1" customWidth="1"/>
    <col min="10" max="10" width="7.6640625" bestFit="1" customWidth="1"/>
    <col min="11" max="11" width="8.33203125" bestFit="1" customWidth="1"/>
    <col min="12" max="12" width="7" bestFit="1" customWidth="1"/>
    <col min="13" max="13" width="9.77734375" bestFit="1" customWidth="1"/>
    <col min="14" max="14" width="10" bestFit="1" customWidth="1"/>
    <col min="15" max="15" width="8.5546875" bestFit="1" customWidth="1"/>
    <col min="16" max="16" width="9" bestFit="1" customWidth="1"/>
    <col min="17" max="17" width="10" bestFit="1" customWidth="1"/>
    <col min="18" max="18" width="9.6640625" bestFit="1" customWidth="1"/>
    <col min="19" max="19" width="8.21875" bestFit="1" customWidth="1"/>
    <col min="20" max="20" width="9.88671875" bestFit="1" customWidth="1"/>
    <col min="21" max="21" width="11.77734375" bestFit="1" customWidth="1"/>
  </cols>
  <sheetData>
    <row r="1" spans="1:21" x14ac:dyDescent="0.3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2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">
      <c r="A4" s="2" t="s">
        <v>75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">
      <c r="A5" s="3" t="s">
        <v>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3" t="s">
        <v>77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UPPER("clmstk")</f>
        <v>CLMSTK</v>
      </c>
      <c r="L7" s="1" t="str">
        <f>UPPER("dbstk")</f>
        <v>DBSTK</v>
      </c>
      <c r="M7" s="1" t="str">
        <f>UPPER("closestk")</f>
        <v>CLOSESTK</v>
      </c>
      <c r="N7" s="1" t="str">
        <f>UPPER("openval")</f>
        <v>OPENVAL</v>
      </c>
      <c r="O7" s="1" t="str">
        <f>UPPER("purval")</f>
        <v>PURVAL</v>
      </c>
      <c r="P7" s="1" t="str">
        <f>UPPER("saleval")</f>
        <v>SALEVAL</v>
      </c>
      <c r="Q7" s="1" t="str">
        <f>UPPER("clsval")</f>
        <v>CLSVAL</v>
      </c>
      <c r="R7" s="1" t="str">
        <f>UPPER("hsncode")</f>
        <v>HSNCODE</v>
      </c>
      <c r="S7" s="1" t="str">
        <f>UPPER("taxper")</f>
        <v>TAXPER</v>
      </c>
      <c r="T7" s="1" t="str">
        <f>UPPER("slgstval")</f>
        <v>SLGSTVAL</v>
      </c>
      <c r="U7" s="1" t="str">
        <f>UPPER("scmgstval")</f>
        <v>SCMGSTVAL</v>
      </c>
    </row>
    <row r="8" spans="1:21" x14ac:dyDescent="0.3">
      <c r="A8" t="s">
        <v>0</v>
      </c>
      <c r="B8" t="s">
        <v>1</v>
      </c>
      <c r="C8">
        <v>200</v>
      </c>
      <c r="D8">
        <v>0</v>
      </c>
      <c r="E8">
        <v>0</v>
      </c>
      <c r="F8">
        <v>71</v>
      </c>
      <c r="G8">
        <v>199</v>
      </c>
      <c r="H8">
        <v>0</v>
      </c>
      <c r="I8">
        <v>0</v>
      </c>
      <c r="J8">
        <v>0</v>
      </c>
      <c r="K8">
        <v>0</v>
      </c>
      <c r="L8">
        <v>71</v>
      </c>
      <c r="M8">
        <v>1</v>
      </c>
      <c r="N8">
        <v>11348</v>
      </c>
      <c r="O8">
        <v>0</v>
      </c>
      <c r="P8">
        <v>12736</v>
      </c>
      <c r="Q8">
        <v>56.74</v>
      </c>
      <c r="R8" t="s">
        <v>2</v>
      </c>
      <c r="S8">
        <v>5</v>
      </c>
      <c r="T8">
        <v>13372.8</v>
      </c>
      <c r="U8">
        <v>0</v>
      </c>
    </row>
    <row r="9" spans="1:21" x14ac:dyDescent="0.3">
      <c r="A9" t="s">
        <v>3</v>
      </c>
      <c r="B9" t="s">
        <v>4</v>
      </c>
      <c r="C9">
        <v>55</v>
      </c>
      <c r="D9">
        <v>0</v>
      </c>
      <c r="E9">
        <v>0</v>
      </c>
      <c r="F9">
        <v>0</v>
      </c>
      <c r="G9">
        <v>12</v>
      </c>
      <c r="H9">
        <v>0</v>
      </c>
      <c r="I9">
        <v>0</v>
      </c>
      <c r="J9">
        <v>0</v>
      </c>
      <c r="K9">
        <v>0</v>
      </c>
      <c r="L9">
        <v>0</v>
      </c>
      <c r="M9">
        <v>43</v>
      </c>
      <c r="N9">
        <v>3640.45</v>
      </c>
      <c r="O9">
        <v>0</v>
      </c>
      <c r="P9">
        <v>895.92</v>
      </c>
      <c r="Q9">
        <v>2846.17</v>
      </c>
      <c r="R9" t="s">
        <v>2</v>
      </c>
      <c r="S9">
        <v>5</v>
      </c>
      <c r="T9">
        <v>940.72</v>
      </c>
      <c r="U9">
        <v>0</v>
      </c>
    </row>
    <row r="10" spans="1:21" x14ac:dyDescent="0.3">
      <c r="A10" t="s">
        <v>5</v>
      </c>
      <c r="B10" t="s">
        <v>6</v>
      </c>
      <c r="C10">
        <v>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21</v>
      </c>
      <c r="N10">
        <v>1262.0999999999999</v>
      </c>
      <c r="O10">
        <v>0</v>
      </c>
      <c r="P10">
        <v>0</v>
      </c>
      <c r="Q10">
        <v>1262.0999999999999</v>
      </c>
      <c r="R10" t="s">
        <v>2</v>
      </c>
      <c r="S10">
        <v>5</v>
      </c>
      <c r="T10">
        <v>0</v>
      </c>
      <c r="U10">
        <v>0</v>
      </c>
    </row>
    <row r="11" spans="1:21" x14ac:dyDescent="0.3">
      <c r="A11" t="s">
        <v>7</v>
      </c>
      <c r="B11" t="s">
        <v>8</v>
      </c>
      <c r="C11">
        <v>10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9</v>
      </c>
      <c r="N11">
        <v>506.5</v>
      </c>
      <c r="O11">
        <v>0</v>
      </c>
      <c r="P11">
        <v>57.14</v>
      </c>
      <c r="Q11">
        <v>455.85</v>
      </c>
      <c r="R11" t="s">
        <v>2</v>
      </c>
      <c r="S11">
        <v>5</v>
      </c>
      <c r="T11">
        <v>60</v>
      </c>
      <c r="U11">
        <v>0</v>
      </c>
    </row>
    <row r="12" spans="1:21" x14ac:dyDescent="0.3">
      <c r="A12" t="s">
        <v>9</v>
      </c>
      <c r="B12" t="s">
        <v>10</v>
      </c>
      <c r="C12">
        <v>18</v>
      </c>
      <c r="D12">
        <v>0</v>
      </c>
      <c r="E12">
        <v>0</v>
      </c>
      <c r="F12">
        <v>0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10</v>
      </c>
      <c r="N12">
        <v>2613.7800000000002</v>
      </c>
      <c r="O12">
        <v>0</v>
      </c>
      <c r="P12">
        <v>1310.4000000000001</v>
      </c>
      <c r="Q12">
        <v>1452.1</v>
      </c>
      <c r="R12" t="s">
        <v>2</v>
      </c>
      <c r="S12">
        <v>5</v>
      </c>
      <c r="T12">
        <v>1375.92</v>
      </c>
      <c r="U12">
        <v>0</v>
      </c>
    </row>
    <row r="13" spans="1:21" x14ac:dyDescent="0.3">
      <c r="A13" t="s">
        <v>11</v>
      </c>
      <c r="B13" t="s">
        <v>12</v>
      </c>
      <c r="C13">
        <v>37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35</v>
      </c>
      <c r="N13">
        <v>6197.87</v>
      </c>
      <c r="O13">
        <v>0</v>
      </c>
      <c r="P13">
        <v>377.92</v>
      </c>
      <c r="Q13">
        <v>5862.85</v>
      </c>
      <c r="R13" t="s">
        <v>2</v>
      </c>
      <c r="S13">
        <v>5</v>
      </c>
      <c r="T13">
        <v>396.82</v>
      </c>
      <c r="U13">
        <v>0</v>
      </c>
    </row>
    <row r="14" spans="1:21" x14ac:dyDescent="0.3">
      <c r="A14" t="s">
        <v>13</v>
      </c>
      <c r="B14" t="s">
        <v>14</v>
      </c>
      <c r="C14">
        <v>58</v>
      </c>
      <c r="D14">
        <v>0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55</v>
      </c>
      <c r="N14">
        <v>6228.62</v>
      </c>
      <c r="O14">
        <v>0</v>
      </c>
      <c r="P14">
        <v>363.42</v>
      </c>
      <c r="Q14">
        <v>5906.45</v>
      </c>
      <c r="R14" t="s">
        <v>2</v>
      </c>
      <c r="S14">
        <v>5</v>
      </c>
      <c r="T14">
        <v>381.59</v>
      </c>
      <c r="U14">
        <v>0</v>
      </c>
    </row>
    <row r="15" spans="1:21" x14ac:dyDescent="0.3">
      <c r="A15" t="s">
        <v>15</v>
      </c>
      <c r="B15" t="s">
        <v>10</v>
      </c>
      <c r="C15">
        <v>10</v>
      </c>
      <c r="D15">
        <v>0</v>
      </c>
      <c r="E15">
        <v>0</v>
      </c>
      <c r="F15">
        <v>0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1830.4</v>
      </c>
      <c r="O15">
        <v>0</v>
      </c>
      <c r="P15">
        <v>1445.36</v>
      </c>
      <c r="Q15">
        <v>549.12</v>
      </c>
      <c r="R15" t="s">
        <v>16</v>
      </c>
      <c r="S15">
        <v>5</v>
      </c>
      <c r="T15">
        <v>1517.63</v>
      </c>
      <c r="U15">
        <v>0</v>
      </c>
    </row>
    <row r="16" spans="1:21" x14ac:dyDescent="0.3">
      <c r="A16" t="s">
        <v>17</v>
      </c>
      <c r="B16" t="s">
        <v>12</v>
      </c>
      <c r="C16">
        <v>205</v>
      </c>
      <c r="D16">
        <v>0</v>
      </c>
      <c r="E16">
        <v>0</v>
      </c>
      <c r="F16">
        <v>0</v>
      </c>
      <c r="G16">
        <v>55</v>
      </c>
      <c r="H16">
        <v>1</v>
      </c>
      <c r="I16">
        <v>0</v>
      </c>
      <c r="J16">
        <v>0</v>
      </c>
      <c r="K16">
        <v>0</v>
      </c>
      <c r="L16">
        <v>0</v>
      </c>
      <c r="M16">
        <v>149</v>
      </c>
      <c r="N16">
        <v>33646.65</v>
      </c>
      <c r="O16">
        <v>0</v>
      </c>
      <c r="P16">
        <v>10182.700000000001</v>
      </c>
      <c r="Q16">
        <v>24455.37</v>
      </c>
      <c r="R16" t="s">
        <v>2</v>
      </c>
      <c r="S16">
        <v>5</v>
      </c>
      <c r="T16">
        <v>10691.84</v>
      </c>
      <c r="U16">
        <v>194.4</v>
      </c>
    </row>
    <row r="17" spans="1:21" x14ac:dyDescent="0.3">
      <c r="A17" t="s">
        <v>18</v>
      </c>
      <c r="B17" t="s">
        <v>10</v>
      </c>
      <c r="C17">
        <v>3</v>
      </c>
      <c r="D17">
        <v>0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520.74</v>
      </c>
      <c r="O17">
        <v>0</v>
      </c>
      <c r="P17">
        <v>587.4</v>
      </c>
      <c r="Q17">
        <v>0</v>
      </c>
      <c r="R17" t="s">
        <v>2</v>
      </c>
      <c r="S17">
        <v>5</v>
      </c>
      <c r="T17">
        <v>616.77</v>
      </c>
      <c r="U17">
        <v>0</v>
      </c>
    </row>
    <row r="18" spans="1:21" x14ac:dyDescent="0.3">
      <c r="A18" t="s">
        <v>19</v>
      </c>
      <c r="B18" t="s">
        <v>20</v>
      </c>
      <c r="C18">
        <v>59</v>
      </c>
      <c r="D18">
        <v>0</v>
      </c>
      <c r="E18">
        <v>0</v>
      </c>
      <c r="F18">
        <v>0</v>
      </c>
      <c r="G18">
        <v>24</v>
      </c>
      <c r="H18">
        <v>1</v>
      </c>
      <c r="I18">
        <v>0</v>
      </c>
      <c r="J18">
        <v>0</v>
      </c>
      <c r="K18">
        <v>0</v>
      </c>
      <c r="L18">
        <v>0</v>
      </c>
      <c r="M18">
        <v>34</v>
      </c>
      <c r="N18">
        <v>8779.7900000000009</v>
      </c>
      <c r="O18">
        <v>0</v>
      </c>
      <c r="P18">
        <v>4408.8</v>
      </c>
      <c r="Q18">
        <v>5059.54</v>
      </c>
      <c r="R18" t="s">
        <v>2</v>
      </c>
      <c r="S18">
        <v>5</v>
      </c>
      <c r="T18">
        <v>4665.53</v>
      </c>
      <c r="U18">
        <v>194.4</v>
      </c>
    </row>
    <row r="19" spans="1:21" x14ac:dyDescent="0.3">
      <c r="A19" t="s">
        <v>21</v>
      </c>
      <c r="B19" t="s">
        <v>22</v>
      </c>
      <c r="C19">
        <v>28</v>
      </c>
      <c r="D19">
        <v>0</v>
      </c>
      <c r="E19">
        <v>0</v>
      </c>
      <c r="F19">
        <v>0</v>
      </c>
      <c r="G19">
        <v>26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1815.52</v>
      </c>
      <c r="O19">
        <v>0</v>
      </c>
      <c r="P19">
        <v>1901.64</v>
      </c>
      <c r="Q19">
        <v>0</v>
      </c>
      <c r="R19" t="s">
        <v>2</v>
      </c>
      <c r="S19">
        <v>5</v>
      </c>
      <c r="T19">
        <v>1996.72</v>
      </c>
      <c r="U19">
        <v>153.59</v>
      </c>
    </row>
    <row r="20" spans="1:21" x14ac:dyDescent="0.3">
      <c r="A20" t="s">
        <v>23</v>
      </c>
      <c r="B20" t="s">
        <v>10</v>
      </c>
      <c r="C20">
        <v>56</v>
      </c>
      <c r="D20">
        <v>0</v>
      </c>
      <c r="E20">
        <v>0</v>
      </c>
      <c r="F20">
        <v>0</v>
      </c>
      <c r="G20">
        <v>37</v>
      </c>
      <c r="H20">
        <v>1</v>
      </c>
      <c r="I20">
        <v>0</v>
      </c>
      <c r="J20">
        <v>0</v>
      </c>
      <c r="K20">
        <v>0</v>
      </c>
      <c r="L20">
        <v>0</v>
      </c>
      <c r="M20">
        <v>18</v>
      </c>
      <c r="N20">
        <v>8131.76</v>
      </c>
      <c r="O20">
        <v>0</v>
      </c>
      <c r="P20">
        <v>6060.6</v>
      </c>
      <c r="Q20">
        <v>2613.7800000000002</v>
      </c>
      <c r="R20" t="s">
        <v>2</v>
      </c>
      <c r="S20">
        <v>5</v>
      </c>
      <c r="T20">
        <v>6363.63</v>
      </c>
      <c r="U20">
        <v>171.99</v>
      </c>
    </row>
    <row r="21" spans="1:21" x14ac:dyDescent="0.3">
      <c r="A21" t="s">
        <v>24</v>
      </c>
      <c r="B21" t="s">
        <v>25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1329.24</v>
      </c>
      <c r="O21">
        <v>0</v>
      </c>
      <c r="P21">
        <v>0</v>
      </c>
      <c r="Q21">
        <v>1329.24</v>
      </c>
      <c r="R21" t="s">
        <v>2</v>
      </c>
      <c r="S21">
        <v>5</v>
      </c>
      <c r="T21">
        <v>0</v>
      </c>
      <c r="U21">
        <v>0</v>
      </c>
    </row>
    <row r="22" spans="1:21" x14ac:dyDescent="0.3">
      <c r="A22" t="s">
        <v>26</v>
      </c>
      <c r="B22" t="s">
        <v>10</v>
      </c>
      <c r="C22">
        <v>7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6</v>
      </c>
      <c r="N22">
        <v>1019.41</v>
      </c>
      <c r="O22">
        <v>0</v>
      </c>
      <c r="P22">
        <v>164.28</v>
      </c>
      <c r="Q22">
        <v>873.78</v>
      </c>
      <c r="R22" t="s">
        <v>2</v>
      </c>
      <c r="S22">
        <v>5</v>
      </c>
      <c r="T22">
        <v>172.49</v>
      </c>
      <c r="U22">
        <v>0</v>
      </c>
    </row>
    <row r="23" spans="1:21" x14ac:dyDescent="0.3">
      <c r="A23" t="s">
        <v>27</v>
      </c>
      <c r="B23" t="s">
        <v>12</v>
      </c>
      <c r="C23">
        <v>57</v>
      </c>
      <c r="D23">
        <v>0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53</v>
      </c>
      <c r="N23">
        <v>6314.46</v>
      </c>
      <c r="O23">
        <v>0</v>
      </c>
      <c r="P23">
        <v>499.84</v>
      </c>
      <c r="Q23">
        <v>5871.34</v>
      </c>
      <c r="R23" t="s">
        <v>2</v>
      </c>
      <c r="S23">
        <v>5</v>
      </c>
      <c r="T23">
        <v>524.83000000000004</v>
      </c>
      <c r="U23">
        <v>0</v>
      </c>
    </row>
    <row r="24" spans="1:21" x14ac:dyDescent="0.3">
      <c r="A24" t="s">
        <v>28</v>
      </c>
      <c r="B24" t="s">
        <v>29</v>
      </c>
      <c r="C24">
        <v>7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6</v>
      </c>
      <c r="N24">
        <v>2316.79</v>
      </c>
      <c r="O24">
        <v>0</v>
      </c>
      <c r="P24">
        <v>373.34</v>
      </c>
      <c r="Q24">
        <v>1985.82</v>
      </c>
      <c r="R24" t="s">
        <v>2</v>
      </c>
      <c r="S24">
        <v>5</v>
      </c>
      <c r="T24">
        <v>392.01</v>
      </c>
      <c r="U24">
        <v>0</v>
      </c>
    </row>
    <row r="25" spans="1:21" x14ac:dyDescent="0.3">
      <c r="A25" t="s">
        <v>30</v>
      </c>
      <c r="B25" t="s">
        <v>8</v>
      </c>
      <c r="C25">
        <v>98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96</v>
      </c>
      <c r="N25">
        <v>6817.86</v>
      </c>
      <c r="O25">
        <v>0</v>
      </c>
      <c r="P25">
        <v>156.96</v>
      </c>
      <c r="Q25">
        <v>6678.72</v>
      </c>
      <c r="R25" t="s">
        <v>16</v>
      </c>
      <c r="S25">
        <v>5</v>
      </c>
      <c r="T25">
        <v>164.81</v>
      </c>
      <c r="U25">
        <v>0</v>
      </c>
    </row>
    <row r="26" spans="1:21" x14ac:dyDescent="0.3">
      <c r="A26" t="s">
        <v>31</v>
      </c>
      <c r="B26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33</v>
      </c>
      <c r="S26">
        <v>5</v>
      </c>
      <c r="T26">
        <v>0</v>
      </c>
      <c r="U26">
        <v>0</v>
      </c>
    </row>
    <row r="27" spans="1:21" x14ac:dyDescent="0.3">
      <c r="A27" t="s">
        <v>34</v>
      </c>
      <c r="B27" t="s">
        <v>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33</v>
      </c>
      <c r="S27">
        <v>5</v>
      </c>
      <c r="T27">
        <v>0</v>
      </c>
      <c r="U27">
        <v>0</v>
      </c>
    </row>
    <row r="28" spans="1:21" x14ac:dyDescent="0.3">
      <c r="A28" t="s">
        <v>36</v>
      </c>
      <c r="B28" t="s">
        <v>37</v>
      </c>
      <c r="C28">
        <v>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46</v>
      </c>
      <c r="N28">
        <v>3479.9</v>
      </c>
      <c r="O28">
        <v>0</v>
      </c>
      <c r="P28">
        <v>0</v>
      </c>
      <c r="Q28">
        <v>3479.9</v>
      </c>
      <c r="R28" t="s">
        <v>2</v>
      </c>
      <c r="S28">
        <v>5</v>
      </c>
      <c r="T28">
        <v>0</v>
      </c>
      <c r="U28">
        <v>0</v>
      </c>
    </row>
    <row r="29" spans="1:21" x14ac:dyDescent="0.3">
      <c r="A29" t="s">
        <v>38</v>
      </c>
      <c r="B29" t="s">
        <v>39</v>
      </c>
      <c r="C29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36</v>
      </c>
      <c r="N29">
        <v>3282.84</v>
      </c>
      <c r="O29">
        <v>0</v>
      </c>
      <c r="P29">
        <v>0</v>
      </c>
      <c r="Q29">
        <v>3282.84</v>
      </c>
      <c r="R29" t="s">
        <v>2</v>
      </c>
      <c r="S29">
        <v>5</v>
      </c>
      <c r="T29">
        <v>0</v>
      </c>
      <c r="U29">
        <v>0</v>
      </c>
    </row>
    <row r="30" spans="1:21" x14ac:dyDescent="0.3">
      <c r="A30" t="s">
        <v>40</v>
      </c>
      <c r="B30" t="s">
        <v>41</v>
      </c>
      <c r="C30">
        <v>119</v>
      </c>
      <c r="D30">
        <v>0</v>
      </c>
      <c r="E30">
        <v>0</v>
      </c>
      <c r="F30">
        <v>0</v>
      </c>
      <c r="G30">
        <v>16</v>
      </c>
      <c r="H30">
        <v>0</v>
      </c>
      <c r="I30">
        <v>0</v>
      </c>
      <c r="J30">
        <v>0</v>
      </c>
      <c r="K30">
        <v>0</v>
      </c>
      <c r="L30">
        <v>0</v>
      </c>
      <c r="M30">
        <v>103</v>
      </c>
      <c r="N30">
        <v>11654.86</v>
      </c>
      <c r="O30">
        <v>0</v>
      </c>
      <c r="P30">
        <v>1767.68</v>
      </c>
      <c r="Q30">
        <v>10087.82</v>
      </c>
      <c r="R30" t="s">
        <v>2</v>
      </c>
      <c r="S30">
        <v>5</v>
      </c>
      <c r="T30">
        <v>1856.06</v>
      </c>
      <c r="U30">
        <v>0</v>
      </c>
    </row>
    <row r="31" spans="1:21" x14ac:dyDescent="0.3">
      <c r="A31" t="s">
        <v>42</v>
      </c>
      <c r="B31" t="s">
        <v>10</v>
      </c>
      <c r="C31">
        <v>86</v>
      </c>
      <c r="D31">
        <v>0</v>
      </c>
      <c r="E31">
        <v>0</v>
      </c>
      <c r="F31">
        <v>0</v>
      </c>
      <c r="G3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81</v>
      </c>
      <c r="N31">
        <v>20388.02</v>
      </c>
      <c r="O31">
        <v>0</v>
      </c>
      <c r="P31">
        <v>1337.1</v>
      </c>
      <c r="Q31">
        <v>19202.669999999998</v>
      </c>
      <c r="R31" t="s">
        <v>2</v>
      </c>
      <c r="S31">
        <v>5</v>
      </c>
      <c r="T31">
        <v>1403.96</v>
      </c>
      <c r="U31">
        <v>0</v>
      </c>
    </row>
    <row r="32" spans="1:21" x14ac:dyDescent="0.3">
      <c r="A32" t="s">
        <v>43</v>
      </c>
      <c r="B32" t="s">
        <v>6</v>
      </c>
      <c r="C32">
        <v>66</v>
      </c>
      <c r="D32">
        <v>0</v>
      </c>
      <c r="E32">
        <v>0</v>
      </c>
      <c r="F32">
        <v>0</v>
      </c>
      <c r="G32">
        <v>9</v>
      </c>
      <c r="H32">
        <v>0</v>
      </c>
      <c r="I32">
        <v>0</v>
      </c>
      <c r="J32">
        <v>0</v>
      </c>
      <c r="K32">
        <v>0</v>
      </c>
      <c r="L32">
        <v>0</v>
      </c>
      <c r="M32">
        <v>57</v>
      </c>
      <c r="N32">
        <v>10029.36</v>
      </c>
      <c r="O32">
        <v>0</v>
      </c>
      <c r="P32">
        <v>1542.78</v>
      </c>
      <c r="Q32">
        <v>8661.7199999999993</v>
      </c>
      <c r="R32" t="s">
        <v>2</v>
      </c>
      <c r="S32">
        <v>5</v>
      </c>
      <c r="T32">
        <v>1619.92</v>
      </c>
      <c r="U32">
        <v>0</v>
      </c>
    </row>
    <row r="33" spans="1:21" x14ac:dyDescent="0.3">
      <c r="A33" t="s">
        <v>44</v>
      </c>
      <c r="B33" t="s">
        <v>45</v>
      </c>
      <c r="C33">
        <v>60</v>
      </c>
      <c r="D33">
        <v>0</v>
      </c>
      <c r="E33">
        <v>0</v>
      </c>
      <c r="F33">
        <v>0</v>
      </c>
      <c r="G33">
        <v>37</v>
      </c>
      <c r="H33">
        <v>0</v>
      </c>
      <c r="I33">
        <v>0</v>
      </c>
      <c r="J33">
        <v>0</v>
      </c>
      <c r="K33">
        <v>0</v>
      </c>
      <c r="L33">
        <v>0</v>
      </c>
      <c r="M33">
        <v>23</v>
      </c>
      <c r="N33">
        <v>11388</v>
      </c>
      <c r="O33">
        <v>0</v>
      </c>
      <c r="P33">
        <v>7921.7</v>
      </c>
      <c r="Q33">
        <v>4365.3999999999996</v>
      </c>
      <c r="R33" t="s">
        <v>2</v>
      </c>
      <c r="S33">
        <v>5</v>
      </c>
      <c r="T33">
        <v>8317.7900000000009</v>
      </c>
      <c r="U33">
        <v>0</v>
      </c>
    </row>
    <row r="34" spans="1:21" x14ac:dyDescent="0.3">
      <c r="A34" t="s">
        <v>46</v>
      </c>
      <c r="B34" t="s">
        <v>10</v>
      </c>
      <c r="C34">
        <v>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27</v>
      </c>
      <c r="N34">
        <v>4267.3500000000004</v>
      </c>
      <c r="O34">
        <v>0</v>
      </c>
      <c r="P34">
        <v>0</v>
      </c>
      <c r="Q34">
        <v>4267.3500000000004</v>
      </c>
      <c r="R34" t="s">
        <v>2</v>
      </c>
      <c r="S34">
        <v>5</v>
      </c>
      <c r="T34">
        <v>0</v>
      </c>
      <c r="U34">
        <v>0</v>
      </c>
    </row>
    <row r="35" spans="1:21" x14ac:dyDescent="0.3">
      <c r="A35" t="s">
        <v>47</v>
      </c>
      <c r="B35" t="s">
        <v>12</v>
      </c>
      <c r="C35">
        <v>36</v>
      </c>
      <c r="D35">
        <v>0</v>
      </c>
      <c r="E35">
        <v>0</v>
      </c>
      <c r="F35">
        <v>0</v>
      </c>
      <c r="G35">
        <v>27</v>
      </c>
      <c r="H35">
        <v>0</v>
      </c>
      <c r="I35">
        <v>0</v>
      </c>
      <c r="J35">
        <v>0</v>
      </c>
      <c r="K35">
        <v>0</v>
      </c>
      <c r="L35">
        <v>0</v>
      </c>
      <c r="M35">
        <v>9</v>
      </c>
      <c r="N35">
        <v>6151.68</v>
      </c>
      <c r="O35">
        <v>0</v>
      </c>
      <c r="P35">
        <v>5204.5200000000004</v>
      </c>
      <c r="Q35">
        <v>1537.92</v>
      </c>
      <c r="R35" t="s">
        <v>2</v>
      </c>
      <c r="S35">
        <v>5</v>
      </c>
      <c r="T35">
        <v>5464.75</v>
      </c>
      <c r="U35">
        <v>0</v>
      </c>
    </row>
    <row r="36" spans="1:21" x14ac:dyDescent="0.3">
      <c r="A36" t="s">
        <v>48</v>
      </c>
      <c r="B36" t="s">
        <v>10</v>
      </c>
      <c r="C36">
        <v>98</v>
      </c>
      <c r="D36">
        <v>0</v>
      </c>
      <c r="E36">
        <v>0</v>
      </c>
      <c r="F36">
        <v>0</v>
      </c>
      <c r="G36">
        <v>66</v>
      </c>
      <c r="H36">
        <v>0</v>
      </c>
      <c r="I36">
        <v>0</v>
      </c>
      <c r="J36">
        <v>0</v>
      </c>
      <c r="K36">
        <v>0</v>
      </c>
      <c r="L36">
        <v>0</v>
      </c>
      <c r="M36">
        <v>32</v>
      </c>
      <c r="N36">
        <v>17010.84</v>
      </c>
      <c r="O36">
        <v>0</v>
      </c>
      <c r="P36">
        <v>12922.8</v>
      </c>
      <c r="Q36">
        <v>5554.56</v>
      </c>
      <c r="R36" t="s">
        <v>16</v>
      </c>
      <c r="S36">
        <v>5</v>
      </c>
      <c r="T36">
        <v>13568.94</v>
      </c>
      <c r="U36">
        <v>0</v>
      </c>
    </row>
    <row r="37" spans="1:21" x14ac:dyDescent="0.3">
      <c r="A37" t="s">
        <v>49</v>
      </c>
      <c r="B37" t="s">
        <v>12</v>
      </c>
      <c r="C37">
        <v>119</v>
      </c>
      <c r="D37">
        <v>0</v>
      </c>
      <c r="E37">
        <v>0</v>
      </c>
      <c r="F37">
        <v>15</v>
      </c>
      <c r="G37">
        <v>20</v>
      </c>
      <c r="H37">
        <v>0</v>
      </c>
      <c r="I37">
        <v>0</v>
      </c>
      <c r="J37">
        <v>0</v>
      </c>
      <c r="K37">
        <v>0</v>
      </c>
      <c r="L37">
        <v>15</v>
      </c>
      <c r="M37">
        <v>99</v>
      </c>
      <c r="N37">
        <v>16557.66</v>
      </c>
      <c r="O37">
        <v>0</v>
      </c>
      <c r="P37">
        <v>3139.2</v>
      </c>
      <c r="Q37">
        <v>13774.86</v>
      </c>
      <c r="R37" t="s">
        <v>2</v>
      </c>
      <c r="S37">
        <v>5</v>
      </c>
      <c r="T37">
        <v>3296.16</v>
      </c>
      <c r="U37">
        <v>0</v>
      </c>
    </row>
    <row r="38" spans="1:21" x14ac:dyDescent="0.3">
      <c r="A38" t="s">
        <v>50</v>
      </c>
      <c r="B38" t="s">
        <v>51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</v>
      </c>
      <c r="S38">
        <v>5</v>
      </c>
      <c r="T38">
        <v>0</v>
      </c>
      <c r="U38">
        <v>0</v>
      </c>
    </row>
    <row r="39" spans="1:21" x14ac:dyDescent="0.3">
      <c r="A39" t="s">
        <v>52</v>
      </c>
      <c r="B39" t="s">
        <v>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</v>
      </c>
      <c r="S39">
        <v>5</v>
      </c>
      <c r="T39">
        <v>0</v>
      </c>
      <c r="U39">
        <v>0</v>
      </c>
    </row>
    <row r="40" spans="1:21" x14ac:dyDescent="0.3">
      <c r="A40" t="s">
        <v>54</v>
      </c>
      <c r="B40" t="s">
        <v>10</v>
      </c>
      <c r="C40">
        <v>76</v>
      </c>
      <c r="D40">
        <v>0</v>
      </c>
      <c r="E40">
        <v>0</v>
      </c>
      <c r="F40">
        <v>0</v>
      </c>
      <c r="G40">
        <v>44</v>
      </c>
      <c r="H40">
        <v>1</v>
      </c>
      <c r="I40">
        <v>0</v>
      </c>
      <c r="J40">
        <v>0</v>
      </c>
      <c r="K40">
        <v>0</v>
      </c>
      <c r="L40">
        <v>0</v>
      </c>
      <c r="M40">
        <v>31</v>
      </c>
      <c r="N40">
        <v>11548.96</v>
      </c>
      <c r="O40">
        <v>0</v>
      </c>
      <c r="P40">
        <v>7542.48</v>
      </c>
      <c r="Q40">
        <v>4710.76</v>
      </c>
      <c r="R40" t="s">
        <v>16</v>
      </c>
      <c r="S40">
        <v>5</v>
      </c>
      <c r="T40">
        <v>7919.6</v>
      </c>
      <c r="U40">
        <v>179.99</v>
      </c>
    </row>
    <row r="41" spans="1:21" x14ac:dyDescent="0.3">
      <c r="A41" t="s">
        <v>55</v>
      </c>
      <c r="B41" t="s">
        <v>12</v>
      </c>
      <c r="C41">
        <v>164</v>
      </c>
      <c r="D41">
        <v>0</v>
      </c>
      <c r="E41">
        <v>0</v>
      </c>
      <c r="F41">
        <v>3</v>
      </c>
      <c r="G41">
        <v>58</v>
      </c>
      <c r="H41">
        <v>1</v>
      </c>
      <c r="I41">
        <v>0</v>
      </c>
      <c r="J41">
        <v>0</v>
      </c>
      <c r="K41">
        <v>0</v>
      </c>
      <c r="L41">
        <v>3</v>
      </c>
      <c r="M41">
        <v>105</v>
      </c>
      <c r="N41">
        <v>28467.119999999999</v>
      </c>
      <c r="O41">
        <v>0</v>
      </c>
      <c r="P41">
        <v>11356.4</v>
      </c>
      <c r="Q41">
        <v>18225.900000000001</v>
      </c>
      <c r="R41" t="s">
        <v>2</v>
      </c>
      <c r="S41">
        <v>5</v>
      </c>
      <c r="T41">
        <v>11924.22</v>
      </c>
      <c r="U41">
        <v>205.59</v>
      </c>
    </row>
    <row r="42" spans="1:21" x14ac:dyDescent="0.3">
      <c r="A42" t="s">
        <v>56</v>
      </c>
      <c r="B42" t="s">
        <v>12</v>
      </c>
      <c r="C42">
        <v>57</v>
      </c>
      <c r="D42">
        <v>0</v>
      </c>
      <c r="E42">
        <v>0</v>
      </c>
      <c r="F42">
        <v>2</v>
      </c>
      <c r="G42">
        <v>14</v>
      </c>
      <c r="H42">
        <v>0</v>
      </c>
      <c r="I42">
        <v>0</v>
      </c>
      <c r="J42">
        <v>0</v>
      </c>
      <c r="K42">
        <v>0</v>
      </c>
      <c r="L42">
        <v>2</v>
      </c>
      <c r="M42">
        <v>43</v>
      </c>
      <c r="N42">
        <v>9548.07</v>
      </c>
      <c r="O42">
        <v>0</v>
      </c>
      <c r="P42">
        <v>2645.44</v>
      </c>
      <c r="Q42">
        <v>7202.93</v>
      </c>
      <c r="R42" t="s">
        <v>2</v>
      </c>
      <c r="S42">
        <v>5</v>
      </c>
      <c r="T42">
        <v>2777.71</v>
      </c>
      <c r="U42">
        <v>0</v>
      </c>
    </row>
    <row r="43" spans="1:21" x14ac:dyDescent="0.3">
      <c r="A43" t="s">
        <v>57</v>
      </c>
      <c r="B43" t="s">
        <v>12</v>
      </c>
      <c r="C43">
        <v>38</v>
      </c>
      <c r="D43">
        <v>0</v>
      </c>
      <c r="E43">
        <v>0</v>
      </c>
      <c r="F43">
        <v>0</v>
      </c>
      <c r="G43">
        <v>13</v>
      </c>
      <c r="H43">
        <v>0</v>
      </c>
      <c r="I43">
        <v>0</v>
      </c>
      <c r="J43">
        <v>0</v>
      </c>
      <c r="K43">
        <v>0</v>
      </c>
      <c r="L43">
        <v>0</v>
      </c>
      <c r="M43">
        <v>25</v>
      </c>
      <c r="N43">
        <v>4311.8599999999997</v>
      </c>
      <c r="O43">
        <v>0</v>
      </c>
      <c r="P43">
        <v>1664</v>
      </c>
      <c r="Q43">
        <v>2836.75</v>
      </c>
      <c r="R43" t="s">
        <v>2</v>
      </c>
      <c r="S43">
        <v>5</v>
      </c>
      <c r="T43">
        <v>1747.2</v>
      </c>
      <c r="U43">
        <v>0</v>
      </c>
    </row>
    <row r="44" spans="1:21" x14ac:dyDescent="0.3">
      <c r="A44" t="s">
        <v>58</v>
      </c>
      <c r="B44" t="s">
        <v>22</v>
      </c>
      <c r="C44">
        <v>38</v>
      </c>
      <c r="D44">
        <v>0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34</v>
      </c>
      <c r="N44">
        <v>6857.86</v>
      </c>
      <c r="O44">
        <v>0</v>
      </c>
      <c r="P44">
        <v>814.32</v>
      </c>
      <c r="Q44">
        <v>6135.98</v>
      </c>
      <c r="R44" t="s">
        <v>2</v>
      </c>
      <c r="S44">
        <v>5</v>
      </c>
      <c r="T44">
        <v>855.04</v>
      </c>
      <c r="U44">
        <v>0</v>
      </c>
    </row>
    <row r="45" spans="1:21" x14ac:dyDescent="0.3">
      <c r="A45" t="s">
        <v>59</v>
      </c>
      <c r="B45" t="s">
        <v>60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</v>
      </c>
      <c r="S45">
        <v>5</v>
      </c>
      <c r="T45">
        <v>0</v>
      </c>
      <c r="U45">
        <v>0</v>
      </c>
    </row>
    <row r="46" spans="1:21" x14ac:dyDescent="0.3">
      <c r="A46" t="s">
        <v>61</v>
      </c>
      <c r="B46" t="s">
        <v>62</v>
      </c>
      <c r="C46">
        <v>24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24</v>
      </c>
      <c r="N46">
        <v>2350.56</v>
      </c>
      <c r="O46">
        <v>0</v>
      </c>
      <c r="P46">
        <v>0</v>
      </c>
      <c r="Q46">
        <v>2350.56</v>
      </c>
      <c r="R46" t="s">
        <v>16</v>
      </c>
      <c r="S46">
        <v>5</v>
      </c>
      <c r="T46">
        <v>0</v>
      </c>
      <c r="U46">
        <v>0</v>
      </c>
    </row>
    <row r="47" spans="1:21" x14ac:dyDescent="0.3">
      <c r="A47" t="s">
        <v>51</v>
      </c>
      <c r="B47" t="s">
        <v>51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51</v>
      </c>
      <c r="S47">
        <v>0</v>
      </c>
      <c r="T47">
        <v>0</v>
      </c>
      <c r="U47">
        <v>0</v>
      </c>
    </row>
    <row r="48" spans="1:21" x14ac:dyDescent="0.3">
      <c r="A48" t="s">
        <v>51</v>
      </c>
      <c r="B48" t="s">
        <v>51</v>
      </c>
      <c r="C48">
        <v>2025</v>
      </c>
      <c r="D48">
        <v>0</v>
      </c>
      <c r="E48">
        <v>0</v>
      </c>
      <c r="F48">
        <v>91</v>
      </c>
      <c r="G48">
        <v>698</v>
      </c>
      <c r="H48">
        <v>0</v>
      </c>
      <c r="I48">
        <v>0</v>
      </c>
      <c r="J48">
        <v>0</v>
      </c>
      <c r="K48">
        <v>0</v>
      </c>
      <c r="L48">
        <v>91</v>
      </c>
      <c r="M48">
        <v>1320</v>
      </c>
      <c r="N48">
        <v>271614.88</v>
      </c>
      <c r="O48">
        <v>0</v>
      </c>
      <c r="P48">
        <v>99380.14</v>
      </c>
      <c r="Q48">
        <v>182936.89</v>
      </c>
      <c r="R48" t="s">
        <v>51</v>
      </c>
      <c r="S48">
        <v>0</v>
      </c>
      <c r="T48">
        <v>0</v>
      </c>
      <c r="U48">
        <v>0</v>
      </c>
    </row>
    <row r="49" spans="1:21" x14ac:dyDescent="0.3">
      <c r="A49" t="s">
        <v>63</v>
      </c>
      <c r="B49" t="s">
        <v>51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51</v>
      </c>
      <c r="S49">
        <v>0</v>
      </c>
      <c r="T49">
        <v>0</v>
      </c>
      <c r="U49">
        <v>0</v>
      </c>
    </row>
    <row r="50" spans="1:21" x14ac:dyDescent="0.3">
      <c r="A50" t="s">
        <v>51</v>
      </c>
      <c r="B50" t="s">
        <v>51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51</v>
      </c>
      <c r="S50">
        <v>0</v>
      </c>
      <c r="T50">
        <v>0</v>
      </c>
      <c r="U50">
        <v>0</v>
      </c>
    </row>
    <row r="51" spans="1:21" x14ac:dyDescent="0.3">
      <c r="A51" t="s">
        <v>64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51</v>
      </c>
      <c r="S51">
        <v>0</v>
      </c>
      <c r="T51">
        <v>0</v>
      </c>
      <c r="U51">
        <v>0</v>
      </c>
    </row>
    <row r="52" spans="1:21" x14ac:dyDescent="0.3">
      <c r="A52" t="s">
        <v>65</v>
      </c>
      <c r="B52" t="s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51</v>
      </c>
      <c r="S52">
        <v>0</v>
      </c>
      <c r="T52">
        <v>0</v>
      </c>
      <c r="U52">
        <v>0</v>
      </c>
    </row>
    <row r="53" spans="1:21" x14ac:dyDescent="0.3">
      <c r="A53" t="s">
        <v>66</v>
      </c>
      <c r="B53" t="s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51</v>
      </c>
      <c r="S53">
        <v>0</v>
      </c>
      <c r="T53">
        <v>0</v>
      </c>
      <c r="U53">
        <v>0</v>
      </c>
    </row>
    <row r="54" spans="1:21" x14ac:dyDescent="0.3">
      <c r="A54" t="s">
        <v>67</v>
      </c>
      <c r="B54" t="s">
        <v>51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51</v>
      </c>
      <c r="S54">
        <v>0</v>
      </c>
      <c r="T54">
        <v>0</v>
      </c>
      <c r="U54">
        <v>0</v>
      </c>
    </row>
    <row r="55" spans="1:21" x14ac:dyDescent="0.3">
      <c r="A55" t="s">
        <v>68</v>
      </c>
      <c r="B55" t="s">
        <v>51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51</v>
      </c>
      <c r="S55">
        <v>0</v>
      </c>
      <c r="T55">
        <v>0</v>
      </c>
      <c r="U55">
        <v>0</v>
      </c>
    </row>
    <row r="56" spans="1:21" x14ac:dyDescent="0.3">
      <c r="A56" t="s">
        <v>69</v>
      </c>
      <c r="B56" t="s">
        <v>51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51</v>
      </c>
      <c r="S56">
        <v>0</v>
      </c>
      <c r="T56">
        <v>0</v>
      </c>
      <c r="U56">
        <v>0</v>
      </c>
    </row>
    <row r="57" spans="1:21" x14ac:dyDescent="0.3">
      <c r="A57" t="s">
        <v>70</v>
      </c>
      <c r="B57" t="s">
        <v>51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51</v>
      </c>
      <c r="S57">
        <v>0</v>
      </c>
      <c r="T57">
        <v>0</v>
      </c>
      <c r="U57">
        <v>0</v>
      </c>
    </row>
    <row r="58" spans="1:21" x14ac:dyDescent="0.3">
      <c r="A58" t="s">
        <v>71</v>
      </c>
      <c r="B58" t="s">
        <v>51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51</v>
      </c>
      <c r="S58">
        <v>0</v>
      </c>
      <c r="T58">
        <v>0</v>
      </c>
      <c r="U58">
        <v>0</v>
      </c>
    </row>
    <row r="59" spans="1:21" x14ac:dyDescent="0.3">
      <c r="A59" t="s">
        <v>51</v>
      </c>
      <c r="B59" t="s">
        <v>51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51</v>
      </c>
      <c r="S59">
        <v>0</v>
      </c>
      <c r="T59">
        <v>0</v>
      </c>
      <c r="U59">
        <v>0</v>
      </c>
    </row>
    <row r="76" spans="1:9" x14ac:dyDescent="0.3">
      <c r="A76" s="2" t="s">
        <v>78</v>
      </c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1" t="s">
        <v>79</v>
      </c>
      <c r="B78" s="1" t="s">
        <v>80</v>
      </c>
      <c r="C78" s="1" t="s">
        <v>81</v>
      </c>
      <c r="D78" s="1" t="s">
        <v>82</v>
      </c>
      <c r="E78" s="1" t="s">
        <v>83</v>
      </c>
      <c r="F78" s="1" t="s">
        <v>84</v>
      </c>
      <c r="G78" s="1" t="s">
        <v>85</v>
      </c>
      <c r="H78" s="1" t="s">
        <v>86</v>
      </c>
      <c r="I78" s="1" t="s">
        <v>87</v>
      </c>
    </row>
    <row r="81" spans="7:9" x14ac:dyDescent="0.3">
      <c r="G81" t="s">
        <v>88</v>
      </c>
      <c r="I81">
        <v>0</v>
      </c>
    </row>
  </sheetData>
  <mergeCells count="8">
    <mergeCell ref="A6:U6"/>
    <mergeCell ref="A76:I76"/>
    <mergeCell ref="A77:I77"/>
    <mergeCell ref="A1:U1"/>
    <mergeCell ref="A2:U2"/>
    <mergeCell ref="A3:U3"/>
    <mergeCell ref="A4:U4"/>
    <mergeCell ref="A5:U5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XLS1105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2026-10-01T10:32:10Z</dcterms:created>
  <dcterms:modified xsi:type="dcterms:W3CDTF">2026-10-01T10:32:11Z</dcterms:modified>
</cp:coreProperties>
</file>