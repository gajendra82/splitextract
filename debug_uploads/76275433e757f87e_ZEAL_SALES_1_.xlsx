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50" yWindow="645" windowWidth="18855" windowHeight="7620" tabRatio="50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T6" i="1"/>
  <c r="S6"/>
  <c r="R6"/>
  <c r="Q6"/>
  <c r="P6"/>
  <c r="O6"/>
  <c r="N6"/>
  <c r="M6"/>
  <c r="L6"/>
  <c r="K6"/>
  <c r="J6"/>
  <c r="I6"/>
  <c r="H6"/>
  <c r="G6"/>
  <c r="F6"/>
  <c r="E6"/>
  <c r="D6"/>
  <c r="C6"/>
  <c r="B6"/>
  <c r="A6"/>
  <c r="T5"/>
  <c r="S5"/>
  <c r="R5"/>
  <c r="Q5"/>
  <c r="P5"/>
  <c r="O5"/>
  <c r="N5"/>
  <c r="M5"/>
  <c r="L5"/>
  <c r="K5"/>
  <c r="J5"/>
  <c r="I5"/>
  <c r="H5"/>
  <c r="G5"/>
  <c r="F5"/>
  <c r="E5"/>
  <c r="D5"/>
  <c r="C5"/>
  <c r="B5"/>
  <c r="A5"/>
  <c r="T4"/>
  <c r="S4"/>
  <c r="R4"/>
  <c r="Q4"/>
  <c r="P4"/>
  <c r="O4"/>
  <c r="N4"/>
  <c r="M4"/>
  <c r="L4"/>
  <c r="K4"/>
  <c r="J4"/>
  <c r="I4"/>
  <c r="H4"/>
  <c r="G4"/>
  <c r="F4"/>
  <c r="E4"/>
  <c r="D4"/>
  <c r="C4"/>
  <c r="B4"/>
  <c r="T3"/>
  <c r="S3"/>
  <c r="R3"/>
  <c r="Q3"/>
  <c r="P3"/>
  <c r="O3"/>
  <c r="N3"/>
  <c r="M3"/>
  <c r="L3"/>
  <c r="K3"/>
  <c r="J3"/>
  <c r="I3"/>
  <c r="H3"/>
  <c r="G3"/>
  <c r="F3"/>
  <c r="E3"/>
  <c r="D3"/>
  <c r="C3"/>
  <c r="B3"/>
  <c r="T2"/>
  <c r="S2"/>
  <c r="R2"/>
  <c r="Q2"/>
  <c r="P2"/>
  <c r="O2"/>
  <c r="N2"/>
  <c r="M2"/>
  <c r="L2"/>
  <c r="K2"/>
  <c r="J2"/>
  <c r="I2"/>
  <c r="H2"/>
  <c r="G2"/>
  <c r="F2"/>
  <c r="E2"/>
  <c r="D2"/>
  <c r="C2"/>
  <c r="B2"/>
  <c r="T1"/>
  <c r="S1"/>
  <c r="R1"/>
  <c r="Q1"/>
  <c r="P1"/>
  <c r="O1"/>
  <c r="N1"/>
  <c r="M1"/>
  <c r="L1"/>
  <c r="K1"/>
  <c r="J1"/>
  <c r="I1"/>
  <c r="H1"/>
  <c r="G1"/>
  <c r="F1"/>
  <c r="E1"/>
  <c r="D1"/>
  <c r="C1"/>
  <c r="B1"/>
</calcChain>
</file>

<file path=xl/sharedStrings.xml><?xml version="1.0" encoding="utf-8"?>
<sst xmlns="http://schemas.openxmlformats.org/spreadsheetml/2006/main" count="153" uniqueCount="89">
  <si>
    <t>YESJR DISTRIBUTORS PVT LTD</t>
  </si>
  <si>
    <t/>
  </si>
  <si>
    <t>No 202,Basement,Ground and First Floor,Rajaraja Chozhan Street,Kumaran Nagar Extn II,Padi, Chennai,Ambattur Taluk, Chennai-600050</t>
  </si>
  <si>
    <t>Stock And Sales Report(Month) of Sep2026 for HIMALAYA ZEAL</t>
  </si>
  <si>
    <t>Report Generated On : 05/10/26 11:36:15</t>
  </si>
  <si>
    <t>ProductCode</t>
  </si>
  <si>
    <t>Division Name</t>
  </si>
  <si>
    <t>ProductName</t>
  </si>
  <si>
    <t>Pack</t>
  </si>
  <si>
    <t>OpeningStock</t>
  </si>
  <si>
    <t>AdjustmentQuantity</t>
  </si>
  <si>
    <t>OpeningStockValue@Cost</t>
  </si>
  <si>
    <t>StockValueatCostPrice</t>
  </si>
  <si>
    <t>SaleQuantity</t>
  </si>
  <si>
    <t>TotalStock</t>
  </si>
  <si>
    <t>SaleValue</t>
  </si>
  <si>
    <t>PurchaseQuantity</t>
  </si>
  <si>
    <t>PurchaseValue</t>
  </si>
  <si>
    <t>ItemCost</t>
  </si>
  <si>
    <t>Order Value</t>
  </si>
  <si>
    <t>Purchase Replacementqty</t>
  </si>
  <si>
    <t>Sales Replacementqty</t>
  </si>
  <si>
    <t>Temporary Stock</t>
  </si>
  <si>
    <t>Last Purchase Date</t>
  </si>
  <si>
    <t>MRP</t>
  </si>
  <si>
    <t>HIMALAYA ZEAL</t>
  </si>
  <si>
    <t>ABANA TAB                   60'S</t>
  </si>
  <si>
    <t>60's</t>
  </si>
  <si>
    <t>BLEMINOR ANTI-BLEMISH CREAM</t>
  </si>
  <si>
    <t>30ML</t>
  </si>
  <si>
    <t>CLARINA ANTI ACNE FACE WA</t>
  </si>
  <si>
    <t>10ML</t>
  </si>
  <si>
    <t>CLARINA ANTI-ACNE CREAM</t>
  </si>
  <si>
    <t>30GM</t>
  </si>
  <si>
    <t>CLARINA ANTI-ACNE FACE WASH GEL</t>
  </si>
  <si>
    <t>60ML</t>
  </si>
  <si>
    <t>CLARINA ANTI-ACNE KIT</t>
  </si>
  <si>
    <t>1</t>
  </si>
  <si>
    <t>CLARINA ANTI0ACNE FACE MASK</t>
  </si>
  <si>
    <t>75ML</t>
  </si>
  <si>
    <t>CLEARVITAL ANTI-WRINKEL GEL</t>
  </si>
  <si>
    <t>COLD BALM 10GM</t>
  </si>
  <si>
    <t>10GM</t>
  </si>
  <si>
    <t>COLD BALM 45GM</t>
  </si>
  <si>
    <t>CONFIDO TAB 60'S              60'S</t>
  </si>
  <si>
    <t>DIABECON DS TAB 60'S</t>
  </si>
  <si>
    <t>DIABECON TAB 100'S</t>
  </si>
  <si>
    <t>100'S</t>
  </si>
  <si>
    <t>DIAREX SYRUP</t>
  </si>
  <si>
    <t>100ML</t>
  </si>
  <si>
    <t>DIAREX TAB</t>
  </si>
  <si>
    <t>30'S</t>
  </si>
  <si>
    <t>HADJOD TAB 60S</t>
  </si>
  <si>
    <t>60S</t>
  </si>
  <si>
    <t>HAIR ZONE SOLUTION</t>
  </si>
  <si>
    <t>60ml</t>
  </si>
  <si>
    <t>HAIRZONE SOLUTION</t>
  </si>
  <si>
    <t>HERBOLAX CAPS</t>
  </si>
  <si>
    <t>10S</t>
  </si>
  <si>
    <t>HERBOLAX TAB</t>
  </si>
  <si>
    <t>100S</t>
  </si>
  <si>
    <t>HIMCOLIN CREAM   30GM</t>
  </si>
  <si>
    <t>LIV 52 SUGAR FREE 100ML</t>
  </si>
  <si>
    <t>LIV.52 HB CAPS</t>
  </si>
  <si>
    <t>10'S</t>
  </si>
  <si>
    <t>LIV.52 SYP  200ML</t>
  </si>
  <si>
    <t>200ML</t>
  </si>
  <si>
    <t>LIV.52 SYR 100ML</t>
  </si>
  <si>
    <t>LIV.52 TAB.60'S</t>
  </si>
  <si>
    <t>60'S</t>
  </si>
  <si>
    <t>OPTHACARE EYE DROPS 10ML</t>
  </si>
  <si>
    <t>PAIN BALM STRONG 10GM</t>
  </si>
  <si>
    <t>PAIN BALM STRONG 45GM</t>
  </si>
  <si>
    <t>PILEX FORTE OINT 30GM</t>
  </si>
  <si>
    <t>PILEX TAB 60'S</t>
  </si>
  <si>
    <t>60s</t>
  </si>
  <si>
    <t>PURIM TAB                     60'S</t>
  </si>
  <si>
    <t>SHALLAKI  TAB 60'S</t>
  </si>
  <si>
    <t>SHIGRU TAB 60s</t>
  </si>
  <si>
    <t>TAGARA TAB 60s</t>
  </si>
  <si>
    <t>TALEKT CAPS</t>
  </si>
  <si>
    <t>TALEKT SYRUP</t>
  </si>
  <si>
    <t>120ML</t>
  </si>
  <si>
    <t>TENTEX FORTE 10'S</t>
  </si>
  <si>
    <t>TRIKATU SYP 200 ML</t>
  </si>
  <si>
    <t>TRIKATU TAB 60s</t>
  </si>
  <si>
    <t>TRIPHALA TAB 60'S</t>
  </si>
  <si>
    <t>VRIKSHAMLA TAB 60s</t>
  </si>
  <si>
    <t>YASHTIMADHU TAB 60s</t>
  </si>
</sst>
</file>

<file path=xl/styles.xml><?xml version="1.0" encoding="utf-8"?>
<styleSheet xmlns="http://schemas.openxmlformats.org/spreadsheetml/2006/main">
  <numFmts count="1">
    <numFmt numFmtId="164" formatCode="###0.000;\-###0.000"/>
  </numFmts>
  <fonts count="15">
    <font>
      <sz val="8.25"/>
      <name val="Microsoft Sans Serif"/>
    </font>
    <font>
      <sz val="8.25"/>
      <name val="Microsoft Sans Serif"/>
    </font>
    <font>
      <sz val="8.25"/>
      <name val="Microsoft Sans Serif"/>
    </font>
    <font>
      <sz val="8.25"/>
      <name val="Microsoft Sans Serif"/>
    </font>
    <font>
      <sz val="8.25"/>
      <name val="Microsoft Sans Serif"/>
    </font>
    <font>
      <sz val="8.25"/>
      <name val="Microsoft Sans Serif"/>
    </font>
    <font>
      <sz val="8.25"/>
      <name val="Microsoft Sans Serif"/>
    </font>
    <font>
      <sz val="8.25"/>
      <color rgb="FF800080"/>
      <name val="Microsoft Sans Serif"/>
    </font>
    <font>
      <sz val="8.25"/>
      <color rgb="FF800080"/>
      <name val="Microsoft Sans Serif"/>
    </font>
    <font>
      <sz val="8.25"/>
      <color rgb="FF800080"/>
      <name val="Microsoft Sans Serif"/>
    </font>
    <font>
      <sz val="8.25"/>
      <color rgb="FF800080"/>
      <name val="Microsoft Sans Serif"/>
    </font>
    <font>
      <sz val="8.25"/>
      <color rgb="FF800080"/>
      <name val="Microsoft Sans Serif"/>
    </font>
    <font>
      <sz val="8.25"/>
      <color rgb="FF800080"/>
      <name val="Microsoft Sans Serif"/>
    </font>
    <font>
      <sz val="8.25"/>
      <name val="Microsoft Sans Serif"/>
    </font>
    <font>
      <sz val="8.25"/>
      <color rgb="FFA52A2A"/>
      <name val="Microsoft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5">
    <xf numFmtId="0" fontId="1" fillId="0" borderId="0" xfId="0" applyFont="1" applyFill="1" applyBorder="1" applyAlignment="1" applyProtection="1">
      <alignment vertical="top"/>
      <protection locked="0"/>
    </xf>
    <xf numFmtId="1" fontId="2" fillId="0" borderId="0" xfId="0" applyNumberFormat="1" applyFont="1" applyFill="1" applyBorder="1" applyAlignment="1" applyProtection="1">
      <alignment vertical="top"/>
    </xf>
    <xf numFmtId="49" fontId="3" fillId="0" borderId="0" xfId="0" applyNumberFormat="1" applyFont="1" applyFill="1" applyBorder="1" applyAlignment="1" applyProtection="1">
      <alignment vertical="top"/>
    </xf>
    <xf numFmtId="1" fontId="4" fillId="0" borderId="0" xfId="0" applyNumberFormat="1" applyFont="1" applyFill="1" applyBorder="1" applyAlignment="1" applyProtection="1">
      <alignment horizontal="right" vertical="top"/>
    </xf>
    <xf numFmtId="164" fontId="5" fillId="0" borderId="0" xfId="0" applyNumberFormat="1" applyFont="1" applyFill="1" applyBorder="1" applyAlignment="1" applyProtection="1">
      <alignment horizontal="right" vertical="top"/>
    </xf>
    <xf numFmtId="14" fontId="6" fillId="0" borderId="0" xfId="0" applyNumberFormat="1" applyFont="1" applyFill="1" applyBorder="1" applyAlignment="1" applyProtection="1">
      <alignment vertical="top"/>
    </xf>
    <xf numFmtId="0" fontId="7" fillId="0" borderId="0" xfId="0" applyFont="1" applyFill="1" applyBorder="1" applyAlignment="1" applyProtection="1">
      <alignment vertical="top"/>
      <protection locked="0"/>
    </xf>
    <xf numFmtId="1" fontId="8" fillId="0" borderId="0" xfId="0" applyNumberFormat="1" applyFont="1" applyFill="1" applyBorder="1" applyAlignment="1" applyProtection="1">
      <alignment vertical="top"/>
    </xf>
    <xf numFmtId="49" fontId="9" fillId="0" borderId="0" xfId="0" applyNumberFormat="1" applyFont="1" applyFill="1" applyBorder="1" applyAlignment="1" applyProtection="1">
      <alignment vertical="top"/>
    </xf>
    <xf numFmtId="1" fontId="10" fillId="0" borderId="0" xfId="0" applyNumberFormat="1" applyFont="1" applyFill="1" applyBorder="1" applyAlignment="1" applyProtection="1">
      <alignment horizontal="right" vertical="top"/>
    </xf>
    <xf numFmtId="164" fontId="11" fillId="0" borderId="0" xfId="0" applyNumberFormat="1" applyFont="1" applyFill="1" applyBorder="1" applyAlignment="1" applyProtection="1">
      <alignment horizontal="right" vertical="top"/>
    </xf>
    <xf numFmtId="14" fontId="12" fillId="0" borderId="0" xfId="0" applyNumberFormat="1" applyFont="1" applyFill="1" applyBorder="1" applyAlignment="1" applyProtection="1">
      <alignment vertical="top"/>
    </xf>
    <xf numFmtId="0" fontId="13" fillId="0" borderId="0" xfId="0" applyFont="1" applyFill="1" applyBorder="1" applyAlignment="1" applyProtection="1">
      <alignment horizontal="center" vertical="center"/>
      <protection locked="0"/>
    </xf>
    <xf numFmtId="0" fontId="14" fillId="0" borderId="0" xfId="0" applyFont="1" applyFill="1" applyBorder="1" applyAlignment="1" applyProtection="1">
      <alignment horizontal="center" vertical="center" wrapText="1"/>
      <protection locked="0"/>
    </xf>
    <xf numFmtId="0" fontId="14" fillId="0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1"/>
  <sheetViews>
    <sheetView tabSelected="1" workbookViewId="0">
      <pane ySplit="7" topLeftCell="A26" activePane="bottomLeft" state="frozen"/>
      <selection activeCell="A8" sqref="A8"/>
      <selection pane="bottomLeft" activeCell="N7" sqref="N1:O1048576"/>
    </sheetView>
  </sheetViews>
  <sheetFormatPr defaultColWidth="10" defaultRowHeight="15" customHeight="1"/>
  <cols>
    <col min="1" max="1" width="8.33203125" style="1" customWidth="1"/>
    <col min="2" max="2" width="8.33203125" style="2" customWidth="1"/>
    <col min="3" max="3" width="34.1640625" style="2" customWidth="1"/>
    <col min="4" max="4" width="8.33203125" style="2" customWidth="1"/>
    <col min="5" max="5" width="7.83203125" style="3" customWidth="1"/>
    <col min="6" max="6" width="8.33203125" style="3" customWidth="1"/>
    <col min="7" max="7" width="14.33203125" style="4" customWidth="1"/>
    <col min="8" max="8" width="15.1640625" style="4" customWidth="1"/>
    <col min="9" max="9" width="7.83203125" style="3" customWidth="1"/>
    <col min="10" max="10" width="6.83203125" style="3" customWidth="1"/>
    <col min="11" max="11" width="14.5" style="4" customWidth="1"/>
    <col min="12" max="12" width="7" style="3" customWidth="1"/>
    <col min="13" max="13" width="10.83203125" style="4" customWidth="1"/>
    <col min="14" max="14" width="11.6640625" style="4" customWidth="1"/>
    <col min="15" max="15" width="8.33203125" style="4" customWidth="1"/>
    <col min="16" max="16" width="8.33203125" style="3" customWidth="1"/>
    <col min="17" max="17" width="13" style="3" customWidth="1"/>
    <col min="18" max="18" width="14" style="3" customWidth="1"/>
    <col min="19" max="19" width="8.33203125" style="5" customWidth="1"/>
    <col min="20" max="20" width="8.33203125" style="4" customWidth="1"/>
    <col min="21" max="21" width="10" customWidth="1"/>
  </cols>
  <sheetData>
    <row r="1" spans="1:20" s="12" customFormat="1" ht="15" customHeight="1">
      <c r="A1" s="14" t="s">
        <v>0</v>
      </c>
      <c r="B1" s="14" t="str">
        <f>""</f>
        <v/>
      </c>
      <c r="C1" s="14" t="str">
        <f>""</f>
        <v/>
      </c>
      <c r="D1" s="14" t="str">
        <f>""</f>
        <v/>
      </c>
      <c r="E1" s="14" t="str">
        <f>""</f>
        <v/>
      </c>
      <c r="F1" s="14" t="str">
        <f>""</f>
        <v/>
      </c>
      <c r="G1" s="14" t="str">
        <f>""</f>
        <v/>
      </c>
      <c r="H1" s="14" t="str">
        <f>""</f>
        <v/>
      </c>
      <c r="I1" s="14" t="str">
        <f>""</f>
        <v/>
      </c>
      <c r="J1" s="14" t="str">
        <f>""</f>
        <v/>
      </c>
      <c r="K1" s="14" t="str">
        <f>""</f>
        <v/>
      </c>
      <c r="L1" s="14" t="str">
        <f>""</f>
        <v/>
      </c>
      <c r="M1" s="14" t="str">
        <f>""</f>
        <v/>
      </c>
      <c r="N1" s="14" t="str">
        <f>""</f>
        <v/>
      </c>
      <c r="O1" s="14" t="str">
        <f>""</f>
        <v/>
      </c>
      <c r="P1" s="14" t="str">
        <f>""</f>
        <v/>
      </c>
      <c r="Q1" s="14" t="str">
        <f>""</f>
        <v/>
      </c>
      <c r="R1" s="14" t="str">
        <f>""</f>
        <v/>
      </c>
      <c r="S1" s="14" t="str">
        <f>""</f>
        <v/>
      </c>
      <c r="T1" s="14" t="str">
        <f>""</f>
        <v/>
      </c>
    </row>
    <row r="2" spans="1:20" s="12" customFormat="1" ht="15" customHeight="1">
      <c r="A2" s="14" t="s">
        <v>2</v>
      </c>
      <c r="B2" s="14" t="str">
        <f>""</f>
        <v/>
      </c>
      <c r="C2" s="14" t="str">
        <f>""</f>
        <v/>
      </c>
      <c r="D2" s="14" t="str">
        <f>""</f>
        <v/>
      </c>
      <c r="E2" s="14" t="str">
        <f>""</f>
        <v/>
      </c>
      <c r="F2" s="14" t="str">
        <f>""</f>
        <v/>
      </c>
      <c r="G2" s="14" t="str">
        <f>""</f>
        <v/>
      </c>
      <c r="H2" s="14" t="str">
        <f>""</f>
        <v/>
      </c>
      <c r="I2" s="14" t="str">
        <f>""</f>
        <v/>
      </c>
      <c r="J2" s="14" t="str">
        <f>""</f>
        <v/>
      </c>
      <c r="K2" s="14" t="str">
        <f>""</f>
        <v/>
      </c>
      <c r="L2" s="14" t="str">
        <f>""</f>
        <v/>
      </c>
      <c r="M2" s="14" t="str">
        <f>""</f>
        <v/>
      </c>
      <c r="N2" s="14" t="str">
        <f>""</f>
        <v/>
      </c>
      <c r="O2" s="14" t="str">
        <f>""</f>
        <v/>
      </c>
      <c r="P2" s="14" t="str">
        <f>""</f>
        <v/>
      </c>
      <c r="Q2" s="14" t="str">
        <f>""</f>
        <v/>
      </c>
      <c r="R2" s="14" t="str">
        <f>""</f>
        <v/>
      </c>
      <c r="S2" s="14" t="str">
        <f>""</f>
        <v/>
      </c>
      <c r="T2" s="14" t="str">
        <f>""</f>
        <v/>
      </c>
    </row>
    <row r="3" spans="1:20" s="12" customFormat="1" ht="15" customHeight="1">
      <c r="A3" s="14" t="s">
        <v>3</v>
      </c>
      <c r="B3" s="14" t="str">
        <f>""</f>
        <v/>
      </c>
      <c r="C3" s="14" t="str">
        <f>""</f>
        <v/>
      </c>
      <c r="D3" s="14" t="str">
        <f>""</f>
        <v/>
      </c>
      <c r="E3" s="14" t="str">
        <f>""</f>
        <v/>
      </c>
      <c r="F3" s="14" t="str">
        <f>""</f>
        <v/>
      </c>
      <c r="G3" s="14" t="str">
        <f>""</f>
        <v/>
      </c>
      <c r="H3" s="14" t="str">
        <f>""</f>
        <v/>
      </c>
      <c r="I3" s="14" t="str">
        <f>""</f>
        <v/>
      </c>
      <c r="J3" s="14" t="str">
        <f>""</f>
        <v/>
      </c>
      <c r="K3" s="14" t="str">
        <f>""</f>
        <v/>
      </c>
      <c r="L3" s="14" t="str">
        <f>""</f>
        <v/>
      </c>
      <c r="M3" s="14" t="str">
        <f>""</f>
        <v/>
      </c>
      <c r="N3" s="14" t="str">
        <f>""</f>
        <v/>
      </c>
      <c r="O3" s="14" t="str">
        <f>""</f>
        <v/>
      </c>
      <c r="P3" s="14" t="str">
        <f>""</f>
        <v/>
      </c>
      <c r="Q3" s="14" t="str">
        <f>""</f>
        <v/>
      </c>
      <c r="R3" s="14" t="str">
        <f>""</f>
        <v/>
      </c>
      <c r="S3" s="14" t="str">
        <f>""</f>
        <v/>
      </c>
      <c r="T3" s="14" t="str">
        <f>""</f>
        <v/>
      </c>
    </row>
    <row r="4" spans="1:20" s="12" customFormat="1" ht="15" customHeight="1">
      <c r="A4" s="14" t="s">
        <v>4</v>
      </c>
      <c r="B4" s="14" t="str">
        <f>""</f>
        <v/>
      </c>
      <c r="C4" s="14" t="str">
        <f>""</f>
        <v/>
      </c>
      <c r="D4" s="14" t="str">
        <f>""</f>
        <v/>
      </c>
      <c r="E4" s="14" t="str">
        <f>""</f>
        <v/>
      </c>
      <c r="F4" s="14" t="str">
        <f>""</f>
        <v/>
      </c>
      <c r="G4" s="14" t="str">
        <f>""</f>
        <v/>
      </c>
      <c r="H4" s="14" t="str">
        <f>""</f>
        <v/>
      </c>
      <c r="I4" s="14" t="str">
        <f>""</f>
        <v/>
      </c>
      <c r="J4" s="14" t="str">
        <f>""</f>
        <v/>
      </c>
      <c r="K4" s="14" t="str">
        <f>""</f>
        <v/>
      </c>
      <c r="L4" s="14" t="str">
        <f>""</f>
        <v/>
      </c>
      <c r="M4" s="14" t="str">
        <f>""</f>
        <v/>
      </c>
      <c r="N4" s="14" t="str">
        <f>""</f>
        <v/>
      </c>
      <c r="O4" s="14" t="str">
        <f>""</f>
        <v/>
      </c>
      <c r="P4" s="14" t="str">
        <f>""</f>
        <v/>
      </c>
      <c r="Q4" s="14" t="str">
        <f>""</f>
        <v/>
      </c>
      <c r="R4" s="14" t="str">
        <f>""</f>
        <v/>
      </c>
      <c r="S4" s="14" t="str">
        <f>""</f>
        <v/>
      </c>
      <c r="T4" s="14" t="str">
        <f>""</f>
        <v/>
      </c>
    </row>
    <row r="5" spans="1:20" s="12" customFormat="1" ht="15" customHeight="1">
      <c r="A5" s="14" t="str">
        <f>""</f>
        <v/>
      </c>
      <c r="B5" s="14" t="str">
        <f>""</f>
        <v/>
      </c>
      <c r="C5" s="14" t="str">
        <f>""</f>
        <v/>
      </c>
      <c r="D5" s="14" t="str">
        <f>""</f>
        <v/>
      </c>
      <c r="E5" s="14" t="str">
        <f>""</f>
        <v/>
      </c>
      <c r="F5" s="14" t="str">
        <f>""</f>
        <v/>
      </c>
      <c r="G5" s="14" t="str">
        <f>""</f>
        <v/>
      </c>
      <c r="H5" s="14" t="str">
        <f>""</f>
        <v/>
      </c>
      <c r="I5" s="14" t="str">
        <f>""</f>
        <v/>
      </c>
      <c r="J5" s="14" t="str">
        <f>""</f>
        <v/>
      </c>
      <c r="K5" s="14" t="str">
        <f>""</f>
        <v/>
      </c>
      <c r="L5" s="14" t="str">
        <f>""</f>
        <v/>
      </c>
      <c r="M5" s="14" t="str">
        <f>""</f>
        <v/>
      </c>
      <c r="N5" s="14" t="str">
        <f>""</f>
        <v/>
      </c>
      <c r="O5" s="14" t="str">
        <f>""</f>
        <v/>
      </c>
      <c r="P5" s="14" t="str">
        <f>""</f>
        <v/>
      </c>
      <c r="Q5" s="14" t="str">
        <f>""</f>
        <v/>
      </c>
      <c r="R5" s="14" t="str">
        <f>""</f>
        <v/>
      </c>
      <c r="S5" s="14" t="str">
        <f>""</f>
        <v/>
      </c>
      <c r="T5" s="14" t="str">
        <f>""</f>
        <v/>
      </c>
    </row>
    <row r="6" spans="1:20" s="12" customFormat="1" ht="15" customHeight="1">
      <c r="A6" s="14" t="str">
        <f>""</f>
        <v/>
      </c>
      <c r="B6" s="14" t="str">
        <f>""</f>
        <v/>
      </c>
      <c r="C6" s="14" t="str">
        <f>""</f>
        <v/>
      </c>
      <c r="D6" s="14" t="str">
        <f>""</f>
        <v/>
      </c>
      <c r="E6" s="14" t="str">
        <f>""</f>
        <v/>
      </c>
      <c r="F6" s="14" t="str">
        <f>""</f>
        <v/>
      </c>
      <c r="G6" s="14" t="str">
        <f>""</f>
        <v/>
      </c>
      <c r="H6" s="14" t="str">
        <f>""</f>
        <v/>
      </c>
      <c r="I6" s="14" t="str">
        <f>""</f>
        <v/>
      </c>
      <c r="J6" s="14" t="str">
        <f>""</f>
        <v/>
      </c>
      <c r="K6" s="14" t="str">
        <f>""</f>
        <v/>
      </c>
      <c r="L6" s="14" t="str">
        <f>""</f>
        <v/>
      </c>
      <c r="M6" s="14" t="str">
        <f>""</f>
        <v/>
      </c>
      <c r="N6" s="14" t="str">
        <f>""</f>
        <v/>
      </c>
      <c r="O6" s="14" t="str">
        <f>""</f>
        <v/>
      </c>
      <c r="P6" s="14" t="str">
        <f>""</f>
        <v/>
      </c>
      <c r="Q6" s="14" t="str">
        <f>""</f>
        <v/>
      </c>
      <c r="R6" s="14" t="str">
        <f>""</f>
        <v/>
      </c>
      <c r="S6" s="14" t="str">
        <f>""</f>
        <v/>
      </c>
      <c r="T6" s="14" t="str">
        <f>""</f>
        <v/>
      </c>
    </row>
    <row r="7" spans="1:20" s="12" customFormat="1" ht="26.25" customHeight="1">
      <c r="A7" s="13" t="s">
        <v>5</v>
      </c>
      <c r="B7" s="13" t="s">
        <v>6</v>
      </c>
      <c r="C7" s="13" t="s">
        <v>7</v>
      </c>
      <c r="D7" s="13" t="s">
        <v>8</v>
      </c>
      <c r="E7" s="13" t="s">
        <v>9</v>
      </c>
      <c r="F7" s="13" t="s">
        <v>10</v>
      </c>
      <c r="G7" s="13" t="s">
        <v>11</v>
      </c>
      <c r="H7" s="13" t="s">
        <v>12</v>
      </c>
      <c r="I7" s="13" t="s">
        <v>13</v>
      </c>
      <c r="J7" s="13" t="s">
        <v>14</v>
      </c>
      <c r="K7" s="13" t="s">
        <v>15</v>
      </c>
      <c r="L7" s="13" t="s">
        <v>16</v>
      </c>
      <c r="M7" s="13" t="s">
        <v>17</v>
      </c>
      <c r="N7" s="13" t="s">
        <v>18</v>
      </c>
      <c r="O7" s="13" t="s">
        <v>19</v>
      </c>
      <c r="P7" s="13" t="s">
        <v>20</v>
      </c>
      <c r="Q7" s="13" t="s">
        <v>21</v>
      </c>
      <c r="R7" s="13" t="s">
        <v>22</v>
      </c>
      <c r="S7" s="13" t="s">
        <v>23</v>
      </c>
      <c r="T7" s="13" t="s">
        <v>24</v>
      </c>
    </row>
    <row r="8" spans="1:20" ht="15" customHeight="1">
      <c r="A8" s="1">
        <v>3739</v>
      </c>
      <c r="B8" s="2" t="s">
        <v>25</v>
      </c>
      <c r="C8" s="2" t="s">
        <v>26</v>
      </c>
      <c r="D8" s="2" t="s">
        <v>27</v>
      </c>
      <c r="O8" s="4">
        <v>0</v>
      </c>
      <c r="T8" s="4">
        <v>182.81</v>
      </c>
    </row>
    <row r="9" spans="1:20" ht="15" customHeight="1">
      <c r="A9" s="1">
        <v>5830</v>
      </c>
      <c r="B9" s="2" t="s">
        <v>25</v>
      </c>
      <c r="C9" s="2" t="s">
        <v>28</v>
      </c>
      <c r="D9" s="2" t="s">
        <v>29</v>
      </c>
      <c r="O9" s="4">
        <v>0</v>
      </c>
      <c r="T9" s="4">
        <v>18.75</v>
      </c>
    </row>
    <row r="10" spans="1:20" ht="15" customHeight="1">
      <c r="A10" s="1">
        <v>4439</v>
      </c>
      <c r="B10" s="2" t="s">
        <v>25</v>
      </c>
      <c r="C10" s="2" t="s">
        <v>30</v>
      </c>
      <c r="D10" s="2" t="s">
        <v>31</v>
      </c>
      <c r="O10" s="4">
        <v>0</v>
      </c>
      <c r="T10" s="4">
        <v>248.44</v>
      </c>
    </row>
    <row r="11" spans="1:20" ht="15" customHeight="1">
      <c r="A11" s="1">
        <v>5832</v>
      </c>
      <c r="B11" s="2" t="s">
        <v>25</v>
      </c>
      <c r="C11" s="2" t="s">
        <v>32</v>
      </c>
      <c r="D11" s="2" t="s">
        <v>33</v>
      </c>
      <c r="O11" s="4">
        <v>0</v>
      </c>
      <c r="T11" s="4">
        <v>0</v>
      </c>
    </row>
    <row r="12" spans="1:20" ht="15" customHeight="1">
      <c r="A12" s="1">
        <v>5834</v>
      </c>
      <c r="B12" s="2" t="s">
        <v>25</v>
      </c>
      <c r="C12" s="2" t="s">
        <v>34</v>
      </c>
      <c r="D12" s="2" t="s">
        <v>35</v>
      </c>
      <c r="O12" s="4">
        <v>0</v>
      </c>
      <c r="T12" s="4">
        <v>28.13</v>
      </c>
    </row>
    <row r="13" spans="1:20" ht="15" customHeight="1">
      <c r="A13" s="1">
        <v>5835</v>
      </c>
      <c r="B13" s="2" t="s">
        <v>25</v>
      </c>
      <c r="C13" s="2" t="s">
        <v>36</v>
      </c>
      <c r="D13" s="2" t="s">
        <v>37</v>
      </c>
      <c r="O13" s="4">
        <v>0</v>
      </c>
      <c r="T13" s="4">
        <v>28.13</v>
      </c>
    </row>
    <row r="14" spans="1:20" ht="15" customHeight="1">
      <c r="A14" s="1">
        <v>5833</v>
      </c>
      <c r="B14" s="2" t="s">
        <v>25</v>
      </c>
      <c r="C14" s="2" t="s">
        <v>38</v>
      </c>
      <c r="D14" s="2" t="s">
        <v>39</v>
      </c>
      <c r="O14" s="4">
        <v>0</v>
      </c>
      <c r="T14" s="4">
        <v>18.75</v>
      </c>
    </row>
    <row r="15" spans="1:20" ht="15" customHeight="1">
      <c r="A15" s="1">
        <v>5836</v>
      </c>
      <c r="B15" s="2" t="s">
        <v>25</v>
      </c>
      <c r="C15" s="2" t="s">
        <v>40</v>
      </c>
      <c r="D15" s="2" t="s">
        <v>29</v>
      </c>
      <c r="O15" s="4">
        <v>0</v>
      </c>
      <c r="T15" s="4">
        <v>18.75</v>
      </c>
    </row>
    <row r="16" spans="1:20" ht="15" customHeight="1">
      <c r="A16" s="1">
        <v>12004</v>
      </c>
      <c r="B16" s="2" t="s">
        <v>25</v>
      </c>
      <c r="C16" s="2" t="s">
        <v>41</v>
      </c>
      <c r="D16" s="2" t="s">
        <v>42</v>
      </c>
      <c r="O16" s="4">
        <v>0</v>
      </c>
      <c r="T16" s="4">
        <v>42.19</v>
      </c>
    </row>
    <row r="17" spans="1:20" ht="15" customHeight="1">
      <c r="A17" s="1">
        <v>15187</v>
      </c>
      <c r="B17" s="2" t="s">
        <v>25</v>
      </c>
      <c r="C17" s="2" t="s">
        <v>43</v>
      </c>
      <c r="D17" s="2" t="s">
        <v>1</v>
      </c>
      <c r="O17" s="4">
        <v>0</v>
      </c>
      <c r="T17" s="4">
        <v>117.19</v>
      </c>
    </row>
    <row r="18" spans="1:20" ht="15" customHeight="1">
      <c r="A18" s="1">
        <v>1290</v>
      </c>
      <c r="B18" s="2" t="s">
        <v>25</v>
      </c>
      <c r="C18" s="2" t="s">
        <v>44</v>
      </c>
      <c r="D18" s="2" t="s">
        <v>27</v>
      </c>
      <c r="E18" s="3">
        <v>0</v>
      </c>
      <c r="F18" s="3">
        <v>0</v>
      </c>
      <c r="G18" s="4">
        <v>0</v>
      </c>
      <c r="H18" s="4">
        <v>0</v>
      </c>
      <c r="I18" s="3">
        <v>0</v>
      </c>
      <c r="J18" s="3">
        <v>0</v>
      </c>
      <c r="K18" s="4">
        <v>5.5540000000000003</v>
      </c>
      <c r="L18" s="3">
        <v>0</v>
      </c>
      <c r="M18" s="4">
        <v>0</v>
      </c>
      <c r="O18" s="4">
        <v>0</v>
      </c>
      <c r="P18" s="3">
        <v>0</v>
      </c>
      <c r="Q18" s="3">
        <v>0</v>
      </c>
      <c r="R18" s="3">
        <v>0</v>
      </c>
      <c r="T18" s="4">
        <v>260</v>
      </c>
    </row>
    <row r="19" spans="1:20" ht="15" customHeight="1">
      <c r="A19" s="1">
        <v>10773</v>
      </c>
      <c r="B19" s="2" t="s">
        <v>25</v>
      </c>
      <c r="C19" s="2" t="s">
        <v>45</v>
      </c>
      <c r="D19" s="2" t="s">
        <v>1</v>
      </c>
      <c r="O19" s="4">
        <v>0</v>
      </c>
      <c r="T19" s="4">
        <v>187.5</v>
      </c>
    </row>
    <row r="20" spans="1:20" ht="15" customHeight="1">
      <c r="A20" s="1">
        <v>3738</v>
      </c>
      <c r="B20" s="2" t="s">
        <v>25</v>
      </c>
      <c r="C20" s="2" t="s">
        <v>46</v>
      </c>
      <c r="D20" s="2" t="s">
        <v>47</v>
      </c>
      <c r="O20" s="4">
        <v>0</v>
      </c>
      <c r="T20" s="4">
        <v>178.13</v>
      </c>
    </row>
    <row r="21" spans="1:20" ht="15" customHeight="1">
      <c r="A21" s="1">
        <v>5376</v>
      </c>
      <c r="B21" s="2" t="s">
        <v>25</v>
      </c>
      <c r="C21" s="2" t="s">
        <v>48</v>
      </c>
      <c r="D21" s="2" t="s">
        <v>49</v>
      </c>
      <c r="O21" s="4">
        <v>0</v>
      </c>
      <c r="T21" s="4">
        <v>126.56</v>
      </c>
    </row>
    <row r="22" spans="1:20" ht="15" customHeight="1">
      <c r="A22" s="1">
        <v>5837</v>
      </c>
      <c r="B22" s="2" t="s">
        <v>25</v>
      </c>
      <c r="C22" s="2" t="s">
        <v>50</v>
      </c>
      <c r="D22" s="2" t="s">
        <v>51</v>
      </c>
      <c r="O22" s="4">
        <v>0</v>
      </c>
      <c r="T22" s="4">
        <v>18.75</v>
      </c>
    </row>
    <row r="23" spans="1:20" ht="15" customHeight="1">
      <c r="A23" s="1">
        <v>12836</v>
      </c>
      <c r="B23" s="2" t="s">
        <v>25</v>
      </c>
      <c r="C23" s="2" t="s">
        <v>52</v>
      </c>
      <c r="D23" s="2" t="s">
        <v>53</v>
      </c>
      <c r="E23" s="3">
        <v>52</v>
      </c>
      <c r="F23" s="3">
        <v>0</v>
      </c>
      <c r="G23" s="4">
        <v>11472.76</v>
      </c>
      <c r="H23" s="4">
        <v>8825.2000000000007</v>
      </c>
      <c r="I23" s="3">
        <v>12</v>
      </c>
      <c r="J23" s="3">
        <v>40</v>
      </c>
      <c r="K23" s="4">
        <v>2830.2959999999998</v>
      </c>
      <c r="L23" s="3">
        <v>0</v>
      </c>
      <c r="M23" s="4">
        <v>0</v>
      </c>
      <c r="N23" s="4">
        <v>220.63</v>
      </c>
      <c r="O23" s="4">
        <v>0</v>
      </c>
      <c r="P23" s="3">
        <v>0</v>
      </c>
      <c r="Q23" s="3">
        <v>0</v>
      </c>
      <c r="R23" s="3">
        <v>0</v>
      </c>
      <c r="S23" s="5">
        <v>46238</v>
      </c>
      <c r="T23" s="4">
        <v>325</v>
      </c>
    </row>
    <row r="24" spans="1:20" ht="15" customHeight="1">
      <c r="A24" s="1">
        <v>4434</v>
      </c>
      <c r="B24" s="2" t="s">
        <v>25</v>
      </c>
      <c r="C24" s="2" t="s">
        <v>54</v>
      </c>
      <c r="D24" s="2" t="s">
        <v>55</v>
      </c>
      <c r="O24" s="4">
        <v>0</v>
      </c>
      <c r="T24" s="4">
        <v>53.44</v>
      </c>
    </row>
    <row r="25" spans="1:20" ht="15" customHeight="1">
      <c r="A25" s="1">
        <v>5840</v>
      </c>
      <c r="B25" s="2" t="s">
        <v>25</v>
      </c>
      <c r="C25" s="2" t="s">
        <v>56</v>
      </c>
      <c r="D25" s="2" t="s">
        <v>35</v>
      </c>
      <c r="O25" s="4">
        <v>0</v>
      </c>
      <c r="T25" s="4">
        <v>18.75</v>
      </c>
    </row>
    <row r="26" spans="1:20" ht="15" customHeight="1">
      <c r="A26" s="1">
        <v>4858</v>
      </c>
      <c r="B26" s="2" t="s">
        <v>25</v>
      </c>
      <c r="C26" s="2" t="s">
        <v>57</v>
      </c>
      <c r="D26" s="2" t="s">
        <v>58</v>
      </c>
      <c r="O26" s="4">
        <v>0</v>
      </c>
      <c r="T26" s="4">
        <v>92.91</v>
      </c>
    </row>
    <row r="27" spans="1:20" ht="15" customHeight="1">
      <c r="A27" s="1">
        <v>5062</v>
      </c>
      <c r="B27" s="2" t="s">
        <v>25</v>
      </c>
      <c r="C27" s="2" t="s">
        <v>59</v>
      </c>
      <c r="D27" s="2" t="s">
        <v>60</v>
      </c>
      <c r="O27" s="4">
        <v>0</v>
      </c>
      <c r="T27" s="4">
        <v>90.7</v>
      </c>
    </row>
    <row r="28" spans="1:20" ht="15" customHeight="1">
      <c r="A28" s="1">
        <v>4440</v>
      </c>
      <c r="B28" s="2" t="s">
        <v>25</v>
      </c>
      <c r="C28" s="2" t="s">
        <v>61</v>
      </c>
      <c r="D28" s="2" t="s">
        <v>33</v>
      </c>
      <c r="E28" s="3">
        <v>22</v>
      </c>
      <c r="F28" s="3">
        <v>0</v>
      </c>
      <c r="G28" s="4">
        <v>4467.9579999999996</v>
      </c>
      <c r="H28" s="4">
        <v>2638.1570000000002</v>
      </c>
      <c r="I28" s="3">
        <v>9</v>
      </c>
      <c r="J28" s="3">
        <v>13</v>
      </c>
      <c r="K28" s="4">
        <v>1982.6679999999999</v>
      </c>
      <c r="L28" s="3">
        <v>0</v>
      </c>
      <c r="M28" s="4">
        <v>0</v>
      </c>
      <c r="N28" s="4">
        <v>202.93515384615401</v>
      </c>
      <c r="O28" s="4">
        <v>0</v>
      </c>
      <c r="P28" s="3">
        <v>0</v>
      </c>
      <c r="Q28" s="3">
        <v>0</v>
      </c>
      <c r="R28" s="3">
        <v>0</v>
      </c>
      <c r="S28" s="5">
        <v>46265</v>
      </c>
      <c r="T28" s="4">
        <v>304</v>
      </c>
    </row>
    <row r="29" spans="1:20" ht="15" customHeight="1">
      <c r="A29" s="1">
        <v>19538</v>
      </c>
      <c r="B29" s="2" t="s">
        <v>25</v>
      </c>
      <c r="C29" s="2" t="s">
        <v>62</v>
      </c>
      <c r="D29" s="2" t="s">
        <v>1</v>
      </c>
      <c r="E29" s="3">
        <v>7</v>
      </c>
      <c r="F29" s="3">
        <v>0</v>
      </c>
      <c r="G29" s="4">
        <v>661.85</v>
      </c>
      <c r="H29" s="4">
        <v>661.85</v>
      </c>
      <c r="I29" s="3">
        <v>0</v>
      </c>
      <c r="J29" s="3">
        <v>7</v>
      </c>
      <c r="K29" s="4">
        <v>0</v>
      </c>
      <c r="L29" s="3">
        <v>0</v>
      </c>
      <c r="M29" s="4">
        <v>0</v>
      </c>
      <c r="N29" s="4">
        <v>94.55</v>
      </c>
      <c r="O29" s="4">
        <v>0</v>
      </c>
      <c r="P29" s="3">
        <v>0</v>
      </c>
      <c r="R29" s="3">
        <v>0</v>
      </c>
      <c r="S29" s="5">
        <v>45961</v>
      </c>
      <c r="T29" s="4">
        <v>140.63</v>
      </c>
    </row>
    <row r="30" spans="1:20" ht="15" customHeight="1">
      <c r="A30" s="1">
        <v>5845</v>
      </c>
      <c r="B30" s="2" t="s">
        <v>25</v>
      </c>
      <c r="C30" s="2" t="s">
        <v>63</v>
      </c>
      <c r="D30" s="2" t="s">
        <v>64</v>
      </c>
      <c r="O30" s="4">
        <v>0</v>
      </c>
      <c r="T30" s="4">
        <v>107.81</v>
      </c>
    </row>
    <row r="31" spans="1:20" ht="15" customHeight="1">
      <c r="A31" s="1">
        <v>1285</v>
      </c>
      <c r="B31" s="2" t="s">
        <v>25</v>
      </c>
      <c r="C31" s="2" t="s">
        <v>65</v>
      </c>
      <c r="D31" s="2" t="s">
        <v>66</v>
      </c>
      <c r="E31" s="3">
        <v>34</v>
      </c>
      <c r="F31" s="3">
        <v>0</v>
      </c>
      <c r="G31" s="4">
        <v>5373.7</v>
      </c>
      <c r="H31" s="4">
        <v>3066.18</v>
      </c>
      <c r="I31" s="3">
        <v>49</v>
      </c>
      <c r="J31" s="3">
        <v>20</v>
      </c>
      <c r="K31" s="4">
        <v>8329.2430000000004</v>
      </c>
      <c r="L31" s="3">
        <v>35</v>
      </c>
      <c r="M31" s="4">
        <v>5365.7979999999998</v>
      </c>
      <c r="N31" s="4">
        <v>153.309</v>
      </c>
      <c r="O31" s="4">
        <v>0</v>
      </c>
      <c r="P31" s="3">
        <v>0</v>
      </c>
      <c r="Q31" s="3">
        <v>0</v>
      </c>
      <c r="R31" s="3">
        <v>0</v>
      </c>
      <c r="S31" s="5">
        <v>46270</v>
      </c>
      <c r="T31" s="4">
        <v>234</v>
      </c>
    </row>
    <row r="32" spans="1:20" ht="15" customHeight="1">
      <c r="A32" s="1">
        <v>1284</v>
      </c>
      <c r="B32" s="2" t="s">
        <v>25</v>
      </c>
      <c r="C32" s="2" t="s">
        <v>67</v>
      </c>
      <c r="D32" s="2" t="s">
        <v>49</v>
      </c>
      <c r="E32" s="3">
        <v>0</v>
      </c>
      <c r="F32" s="3">
        <v>0</v>
      </c>
      <c r="G32" s="4">
        <v>0</v>
      </c>
      <c r="H32" s="4">
        <v>3214.7</v>
      </c>
      <c r="I32" s="3">
        <v>36</v>
      </c>
      <c r="J32" s="3">
        <v>34</v>
      </c>
      <c r="K32" s="4">
        <v>3654.172</v>
      </c>
      <c r="L32" s="3">
        <v>70</v>
      </c>
      <c r="M32" s="4">
        <v>6618.5</v>
      </c>
      <c r="N32" s="4">
        <v>94.55</v>
      </c>
      <c r="O32" s="4">
        <v>0</v>
      </c>
      <c r="P32" s="3">
        <v>0</v>
      </c>
      <c r="Q32" s="3">
        <v>0</v>
      </c>
      <c r="R32" s="3">
        <v>0</v>
      </c>
      <c r="S32" s="5">
        <v>46270</v>
      </c>
      <c r="T32" s="4">
        <v>140</v>
      </c>
    </row>
    <row r="33" spans="1:20" ht="15" customHeight="1">
      <c r="A33" s="1">
        <v>1286</v>
      </c>
      <c r="B33" s="2" t="s">
        <v>25</v>
      </c>
      <c r="C33" s="2" t="s">
        <v>68</v>
      </c>
      <c r="D33" s="2" t="s">
        <v>69</v>
      </c>
      <c r="E33" s="3">
        <v>4</v>
      </c>
      <c r="F33" s="3">
        <v>0</v>
      </c>
      <c r="G33" s="4">
        <v>576.52800000000002</v>
      </c>
      <c r="H33" s="4">
        <v>9956.2000000000007</v>
      </c>
      <c r="I33" s="3">
        <v>37</v>
      </c>
      <c r="J33" s="3">
        <v>67</v>
      </c>
      <c r="K33" s="4">
        <v>5883.4620000000004</v>
      </c>
      <c r="L33" s="3">
        <v>100</v>
      </c>
      <c r="M33" s="4">
        <v>14860</v>
      </c>
      <c r="N33" s="4">
        <v>148.6</v>
      </c>
      <c r="O33" s="4">
        <v>0</v>
      </c>
      <c r="P33" s="3">
        <v>0</v>
      </c>
      <c r="Q33" s="3">
        <v>0</v>
      </c>
      <c r="R33" s="3">
        <v>0</v>
      </c>
      <c r="S33" s="5">
        <v>46270</v>
      </c>
      <c r="T33" s="4">
        <v>220</v>
      </c>
    </row>
    <row r="34" spans="1:20" ht="15" customHeight="1">
      <c r="A34" s="1">
        <v>13825</v>
      </c>
      <c r="B34" s="2" t="s">
        <v>25</v>
      </c>
      <c r="C34" s="2" t="s">
        <v>70</v>
      </c>
      <c r="D34" s="2" t="s">
        <v>31</v>
      </c>
      <c r="O34" s="4">
        <v>0</v>
      </c>
      <c r="T34" s="4">
        <v>56.25</v>
      </c>
    </row>
    <row r="35" spans="1:20" ht="15" customHeight="1">
      <c r="A35" s="1">
        <v>12006</v>
      </c>
      <c r="B35" s="2" t="s">
        <v>25</v>
      </c>
      <c r="C35" s="2" t="s">
        <v>71</v>
      </c>
      <c r="D35" s="2" t="s">
        <v>42</v>
      </c>
      <c r="O35" s="4">
        <v>0</v>
      </c>
      <c r="T35" s="4">
        <v>42.19</v>
      </c>
    </row>
    <row r="36" spans="1:20" ht="15" customHeight="1">
      <c r="A36" s="1">
        <v>15188</v>
      </c>
      <c r="B36" s="2" t="s">
        <v>25</v>
      </c>
      <c r="C36" s="2" t="s">
        <v>72</v>
      </c>
      <c r="D36" s="2" t="s">
        <v>1</v>
      </c>
      <c r="O36" s="4">
        <v>0</v>
      </c>
      <c r="T36" s="4">
        <v>131.25</v>
      </c>
    </row>
    <row r="37" spans="1:20" ht="15" customHeight="1">
      <c r="A37" s="1">
        <v>11760</v>
      </c>
      <c r="B37" s="2" t="s">
        <v>25</v>
      </c>
      <c r="C37" s="2" t="s">
        <v>73</v>
      </c>
      <c r="D37" s="2" t="s">
        <v>33</v>
      </c>
      <c r="E37" s="3">
        <v>3</v>
      </c>
      <c r="F37" s="3">
        <v>0</v>
      </c>
      <c r="G37" s="4">
        <v>272.01</v>
      </c>
      <c r="H37" s="4">
        <v>272.01</v>
      </c>
      <c r="I37" s="3">
        <v>0</v>
      </c>
      <c r="J37" s="3">
        <v>3</v>
      </c>
      <c r="K37" s="4">
        <v>0</v>
      </c>
      <c r="L37" s="3">
        <v>0</v>
      </c>
      <c r="M37" s="4">
        <v>0</v>
      </c>
      <c r="N37" s="4">
        <v>90.67</v>
      </c>
      <c r="O37" s="4">
        <v>0</v>
      </c>
      <c r="P37" s="3">
        <v>0</v>
      </c>
      <c r="R37" s="3">
        <v>0</v>
      </c>
      <c r="S37" s="5">
        <v>46206</v>
      </c>
      <c r="T37" s="4">
        <v>150</v>
      </c>
    </row>
    <row r="38" spans="1:20" ht="15" customHeight="1">
      <c r="A38" s="1">
        <v>1305</v>
      </c>
      <c r="B38" s="2" t="s">
        <v>25</v>
      </c>
      <c r="C38" s="2" t="s">
        <v>74</v>
      </c>
      <c r="D38" s="2" t="s">
        <v>75</v>
      </c>
      <c r="E38" s="3">
        <v>38</v>
      </c>
      <c r="F38" s="3">
        <v>-5</v>
      </c>
      <c r="G38" s="4">
        <v>6005.9</v>
      </c>
      <c r="H38" s="4">
        <v>12244.78</v>
      </c>
      <c r="I38" s="3">
        <v>59</v>
      </c>
      <c r="J38" s="3">
        <v>74</v>
      </c>
      <c r="K38" s="4">
        <v>10164.014999999999</v>
      </c>
      <c r="L38" s="3">
        <v>100</v>
      </c>
      <c r="M38" s="4">
        <v>16547</v>
      </c>
      <c r="N38" s="4">
        <v>165.47</v>
      </c>
      <c r="O38" s="4">
        <v>0</v>
      </c>
      <c r="P38" s="3">
        <v>0</v>
      </c>
      <c r="Q38" s="3">
        <v>0</v>
      </c>
      <c r="R38" s="3">
        <v>0</v>
      </c>
      <c r="S38" s="5">
        <v>46270</v>
      </c>
      <c r="T38" s="4">
        <v>245</v>
      </c>
    </row>
    <row r="39" spans="1:20" ht="15" customHeight="1">
      <c r="A39" s="1">
        <v>1306</v>
      </c>
      <c r="B39" s="2" t="s">
        <v>25</v>
      </c>
      <c r="C39" s="2" t="s">
        <v>76</v>
      </c>
      <c r="D39" s="2" t="s">
        <v>1</v>
      </c>
      <c r="O39" s="4">
        <v>0</v>
      </c>
      <c r="T39" s="4">
        <v>187.5</v>
      </c>
    </row>
    <row r="40" spans="1:20" ht="15" customHeight="1">
      <c r="A40" s="1">
        <v>8648</v>
      </c>
      <c r="B40" s="2" t="s">
        <v>25</v>
      </c>
      <c r="C40" s="2" t="s">
        <v>77</v>
      </c>
      <c r="D40" s="2" t="s">
        <v>1</v>
      </c>
      <c r="O40" s="4">
        <v>0</v>
      </c>
      <c r="T40" s="4">
        <v>220</v>
      </c>
    </row>
    <row r="41" spans="1:20" ht="15" customHeight="1">
      <c r="A41" s="1">
        <v>15309</v>
      </c>
      <c r="B41" s="2" t="s">
        <v>25</v>
      </c>
      <c r="C41" s="2" t="s">
        <v>78</v>
      </c>
      <c r="D41" s="2" t="s">
        <v>1</v>
      </c>
      <c r="O41" s="4">
        <v>0</v>
      </c>
      <c r="T41" s="4">
        <v>187.5</v>
      </c>
    </row>
    <row r="42" spans="1:20" ht="15" customHeight="1">
      <c r="A42" s="1">
        <v>15310</v>
      </c>
      <c r="B42" s="2" t="s">
        <v>25</v>
      </c>
      <c r="C42" s="2" t="s">
        <v>79</v>
      </c>
      <c r="D42" s="2" t="s">
        <v>1</v>
      </c>
      <c r="O42" s="4">
        <v>0</v>
      </c>
      <c r="T42" s="4">
        <v>178.13</v>
      </c>
    </row>
    <row r="43" spans="1:20" ht="15" customHeight="1">
      <c r="A43" s="1">
        <v>5846</v>
      </c>
      <c r="B43" s="2" t="s">
        <v>25</v>
      </c>
      <c r="C43" s="2" t="s">
        <v>80</v>
      </c>
      <c r="D43" s="2" t="s">
        <v>69</v>
      </c>
      <c r="O43" s="4">
        <v>0</v>
      </c>
      <c r="T43" s="4">
        <v>28.13</v>
      </c>
    </row>
    <row r="44" spans="1:20" ht="15" customHeight="1">
      <c r="A44" s="1">
        <v>5847</v>
      </c>
      <c r="B44" s="2" t="s">
        <v>25</v>
      </c>
      <c r="C44" s="2" t="s">
        <v>81</v>
      </c>
      <c r="D44" s="2" t="s">
        <v>82</v>
      </c>
      <c r="O44" s="4">
        <v>0</v>
      </c>
      <c r="T44" s="4">
        <v>18.75</v>
      </c>
    </row>
    <row r="45" spans="1:20" ht="15" customHeight="1">
      <c r="A45" s="1">
        <v>3740</v>
      </c>
      <c r="B45" s="2" t="s">
        <v>25</v>
      </c>
      <c r="C45" s="2" t="s">
        <v>83</v>
      </c>
      <c r="D45" s="2" t="s">
        <v>1</v>
      </c>
      <c r="O45" s="4">
        <v>0</v>
      </c>
      <c r="T45" s="4">
        <v>117.19</v>
      </c>
    </row>
    <row r="46" spans="1:20" ht="15" customHeight="1">
      <c r="A46" s="1">
        <v>15311</v>
      </c>
      <c r="B46" s="2" t="s">
        <v>25</v>
      </c>
      <c r="C46" s="2" t="s">
        <v>84</v>
      </c>
      <c r="D46" s="2" t="s">
        <v>1</v>
      </c>
      <c r="O46" s="4">
        <v>0</v>
      </c>
      <c r="T46" s="4">
        <v>178.13</v>
      </c>
    </row>
    <row r="47" spans="1:20" ht="15" customHeight="1">
      <c r="A47" s="1">
        <v>15312</v>
      </c>
      <c r="B47" s="2" t="s">
        <v>25</v>
      </c>
      <c r="C47" s="2" t="s">
        <v>85</v>
      </c>
      <c r="D47" s="2" t="s">
        <v>1</v>
      </c>
      <c r="O47" s="4">
        <v>0</v>
      </c>
      <c r="T47" s="4">
        <v>0</v>
      </c>
    </row>
    <row r="48" spans="1:20" ht="15" customHeight="1">
      <c r="A48" s="1">
        <v>8649</v>
      </c>
      <c r="B48" s="2" t="s">
        <v>25</v>
      </c>
      <c r="C48" s="2" t="s">
        <v>86</v>
      </c>
      <c r="D48" s="2" t="s">
        <v>1</v>
      </c>
      <c r="E48" s="3">
        <v>8</v>
      </c>
      <c r="F48" s="3">
        <v>0</v>
      </c>
      <c r="G48" s="4">
        <v>1547.816</v>
      </c>
      <c r="H48" s="4">
        <v>5702.48</v>
      </c>
      <c r="I48" s="3">
        <v>40</v>
      </c>
      <c r="J48" s="3">
        <v>28</v>
      </c>
      <c r="K48" s="4">
        <v>8699.7530000000006</v>
      </c>
      <c r="L48" s="3">
        <v>60</v>
      </c>
      <c r="M48" s="4">
        <v>12219.6</v>
      </c>
      <c r="N48" s="4">
        <v>203.66</v>
      </c>
      <c r="O48" s="4">
        <v>0</v>
      </c>
      <c r="P48" s="3">
        <v>0</v>
      </c>
      <c r="Q48" s="3">
        <v>0</v>
      </c>
      <c r="R48" s="3">
        <v>0</v>
      </c>
      <c r="S48" s="5">
        <v>46270</v>
      </c>
      <c r="T48" s="4">
        <v>300</v>
      </c>
    </row>
    <row r="49" spans="1:20" ht="15" customHeight="1">
      <c r="A49" s="1">
        <v>15313</v>
      </c>
      <c r="B49" s="2" t="s">
        <v>25</v>
      </c>
      <c r="C49" s="2" t="s">
        <v>87</v>
      </c>
      <c r="D49" s="2" t="s">
        <v>1</v>
      </c>
      <c r="O49" s="4">
        <v>0</v>
      </c>
      <c r="T49" s="4">
        <v>0</v>
      </c>
    </row>
    <row r="50" spans="1:20" ht="15" customHeight="1">
      <c r="A50" s="1">
        <v>15314</v>
      </c>
      <c r="B50" s="2" t="s">
        <v>25</v>
      </c>
      <c r="C50" s="2" t="s">
        <v>88</v>
      </c>
      <c r="D50" s="2" t="s">
        <v>1</v>
      </c>
      <c r="O50" s="4">
        <v>0</v>
      </c>
      <c r="T50" s="4">
        <v>178.13</v>
      </c>
    </row>
    <row r="51" spans="1:20" s="6" customFormat="1" ht="15" customHeight="1">
      <c r="A51" s="7"/>
      <c r="B51" s="8"/>
      <c r="C51" s="8"/>
      <c r="D51" s="8"/>
      <c r="E51" s="9">
        <v>168</v>
      </c>
      <c r="F51" s="9">
        <v>-5</v>
      </c>
      <c r="G51" s="10">
        <v>30378.522000000001</v>
      </c>
      <c r="H51" s="10">
        <v>46581.557000000001</v>
      </c>
      <c r="I51" s="9">
        <v>242</v>
      </c>
      <c r="J51" s="9">
        <v>286</v>
      </c>
      <c r="K51" s="10">
        <v>41549.163</v>
      </c>
      <c r="L51" s="9">
        <v>365</v>
      </c>
      <c r="M51" s="10">
        <v>55610.898000000001</v>
      </c>
      <c r="N51" s="10">
        <v>1374.37415384615</v>
      </c>
      <c r="O51" s="10">
        <v>0</v>
      </c>
      <c r="P51" s="9">
        <v>0</v>
      </c>
      <c r="Q51" s="9">
        <v>0</v>
      </c>
      <c r="R51" s="9">
        <v>0</v>
      </c>
      <c r="S51" s="11"/>
      <c r="T51" s="10"/>
    </row>
  </sheetData>
  <mergeCells count="6">
    <mergeCell ref="A6:T6"/>
    <mergeCell ref="A1:T1"/>
    <mergeCell ref="A2:T2"/>
    <mergeCell ref="A3:T3"/>
    <mergeCell ref="A4:T4"/>
    <mergeCell ref="A5:T5"/>
  </mergeCells>
  <printOptions headings="1" gridLines="1"/>
  <pageMargins left="0" right="0" top="0" bottom="0" header="0" footer="0"/>
  <pageSetup paperSize="0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YesjrAccounts</cp:lastModifiedBy>
  <dcterms:modified xsi:type="dcterms:W3CDTF">2026-10-05T06:06:27Z</dcterms:modified>
</cp:coreProperties>
</file>