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A9C572D-5B53-4BAC-B73E-1052E0C5A0F8}" xr6:coauthVersionLast="47" xr6:coauthVersionMax="47" xr10:uidLastSave="{00000000-0000-0000-0000-000000000000}"/>
  <bookViews>
    <workbookView xWindow="-120" yWindow="-120" windowWidth="20730" windowHeight="11040" xr2:uid="{F1989152-B7FA-42FC-B401-EC634B84B6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39" i="1" l="1"/>
  <c r="S39" i="1"/>
  <c r="T39" i="1"/>
</calcChain>
</file>

<file path=xl/sharedStrings.xml><?xml version="1.0" encoding="utf-8"?>
<sst xmlns="http://schemas.openxmlformats.org/spreadsheetml/2006/main" count="242" uniqueCount="98">
  <si>
    <t>skull_namespace</t>
  </si>
  <si>
    <t>warehouse</t>
  </si>
  <si>
    <t>Month</t>
  </si>
  <si>
    <t>Stock End Date</t>
  </si>
  <si>
    <t>itemcode</t>
  </si>
  <si>
    <t>product_name</t>
  </si>
  <si>
    <t>manufacturer_division</t>
  </si>
  <si>
    <t>manufacturer_name</t>
  </si>
  <si>
    <t>Opening Stock</t>
  </si>
  <si>
    <t>Purchase</t>
  </si>
  <si>
    <t>Purchase Return</t>
  </si>
  <si>
    <t>Sale</t>
  </si>
  <si>
    <t>Sale Return</t>
  </si>
  <si>
    <t>Branch Transfer Sent</t>
  </si>
  <si>
    <t>Adjustment</t>
  </si>
  <si>
    <t>Closing Stock</t>
  </si>
  <si>
    <t>Pending Purchase</t>
  </si>
  <si>
    <t>Sale Value</t>
  </si>
  <si>
    <t>Branch Transfer Sent Value</t>
  </si>
  <si>
    <t>Closing Stock Value</t>
  </si>
  <si>
    <t>th411</t>
  </si>
  <si>
    <t>MUTHU PHARMA (A UNIT OF AWPSPL)</t>
  </si>
  <si>
    <t>000365</t>
  </si>
  <si>
    <t>HIMALAYA ABANA | BOTTLE | TABLETS | 60 NO'S</t>
  </si>
  <si>
    <t>ZEAL (HIMALAYA WELLNESS COMPANY)</t>
  </si>
  <si>
    <t>HIMALAYA WELLNESS COMPANY</t>
  </si>
  <si>
    <t>329969</t>
  </si>
  <si>
    <t>HIMALAYA ALTHEA LOTION 100ML</t>
  </si>
  <si>
    <t>I00483</t>
  </si>
  <si>
    <t>HIMALAYA AMALAKI | TABLETS | 60 NO'S</t>
  </si>
  <si>
    <t>N22542</t>
  </si>
  <si>
    <t>HIMALAYA BLEMINOR  ANTIBLEMISH CREAM  TUBE OF 30 ML</t>
  </si>
  <si>
    <t>042660</t>
  </si>
  <si>
    <t>HIMALAYA CLARINA CREAM 30GM</t>
  </si>
  <si>
    <t>042662</t>
  </si>
  <si>
    <t>HIMALAYA CLARINA FACE WASH GEL 60ML</t>
  </si>
  <si>
    <t>047315</t>
  </si>
  <si>
    <t>HIMALAYA CONFIDO TABLETS - 60'S</t>
  </si>
  <si>
    <t>055335</t>
  </si>
  <si>
    <t>HIMALAYA DIABECON BOTTLE OF 60 TABLETS</t>
  </si>
  <si>
    <t>055337</t>
  </si>
  <si>
    <t>HIMALAYA DIABECON DS BOTTLE OF 60 TABLETS</t>
  </si>
  <si>
    <t>055805</t>
  </si>
  <si>
    <t>HIMALAYA DIAREX BOTTLE OF 30 TABLETS</t>
  </si>
  <si>
    <t>264394</t>
  </si>
  <si>
    <t>HIMALAYA HADJOD | STRENGTHENS BONES | TABLETS | 60 NO'S</t>
  </si>
  <si>
    <t>224086</t>
  </si>
  <si>
    <t>HIMALAYA HAIR ZONE | SOLUTION | 60 ML</t>
  </si>
  <si>
    <t>089875</t>
  </si>
  <si>
    <t>HIMALAYA HERBOLAX STRIP OF 10 CAPSULES</t>
  </si>
  <si>
    <t>089880</t>
  </si>
  <si>
    <t>HIMALAYA HERBOLAX | TABLETS | 100 NO'S</t>
  </si>
  <si>
    <t>091060</t>
  </si>
  <si>
    <t>HIMALAYA HIMCOLIN GEL | FOR MEN | 30 GM</t>
  </si>
  <si>
    <t>105886</t>
  </si>
  <si>
    <t>HIMALAYA LIV.52 HB | CAPSULES | 10 NO'S</t>
  </si>
  <si>
    <t>M95950</t>
  </si>
  <si>
    <t>HIMALAYA LIV.52 | SUGAR FREE | SYRUP | 100 ML</t>
  </si>
  <si>
    <t>105915</t>
  </si>
  <si>
    <t>HIMALAYA LIV.52 | SYRUP | 100 ML</t>
  </si>
  <si>
    <t>105910</t>
  </si>
  <si>
    <t>HIMALAYA LIV.52 | SYRUP | 200 ML</t>
  </si>
  <si>
    <t>105920</t>
  </si>
  <si>
    <t>HIMALAYA LIV.52 | TABLETS | 100 NO'S</t>
  </si>
  <si>
    <t>I02613</t>
  </si>
  <si>
    <t>HIMALAYA OPHTHACARE BOTTLE OF 10ML EYE DROPS</t>
  </si>
  <si>
    <t>090760</t>
  </si>
  <si>
    <t>HIMALAYA PAIN BALM STRONG 10 GM</t>
  </si>
  <si>
    <t>269313</t>
  </si>
  <si>
    <t>HIMALAYA PAIN RELIEF OIL | RELIEVES BODY ACHES AND PAIN | GINGER | 100 ML</t>
  </si>
  <si>
    <t>139300</t>
  </si>
  <si>
    <t>HIMALAYA PILEX BOTTLE OF 60 TABLETS</t>
  </si>
  <si>
    <t>Y13534</t>
  </si>
  <si>
    <t>HIMALAYA PILEX FORTE TUBE OF 30GM OINTMENT</t>
  </si>
  <si>
    <t>145475</t>
  </si>
  <si>
    <t>HIMALAYA PURIM | TABLETS | 60 NO'S</t>
  </si>
  <si>
    <t>150320</t>
  </si>
  <si>
    <t>HIMALAYA RENALKA SYP 100ML</t>
  </si>
  <si>
    <t>150321</t>
  </si>
  <si>
    <t>HIMALAYA RENALKA | SYRUP | 200 ML</t>
  </si>
  <si>
    <t>193324</t>
  </si>
  <si>
    <t>HIMALAYA SHALLAKI | REDUCES PAIN &amp; INFLAMMATION | TABLETS | 60 NO'S</t>
  </si>
  <si>
    <t>I18787</t>
  </si>
  <si>
    <t>HIMALAYA SHIGRU | REDUCE JOINT STIFFNESS | TABLETS | 60 NO'S</t>
  </si>
  <si>
    <t>090920</t>
  </si>
  <si>
    <t>HIMALAYA TAGARA | PROMOTES RESTFUL SLEEP | TABLETS | 60 NO'S</t>
  </si>
  <si>
    <t>168815</t>
  </si>
  <si>
    <t>HIMALAYA TENTEX FORTE | TABLETS | 10 NO'S</t>
  </si>
  <si>
    <t>174925</t>
  </si>
  <si>
    <t>HIMALAYA TRIPHALA BOWEL WELLNESS | RELIEVES CONSTIPATION | TABLETS | 60 NO'S</t>
  </si>
  <si>
    <t>193046</t>
  </si>
  <si>
    <t>HIMALAYA VASAKA CAPSULES</t>
  </si>
  <si>
    <t>I37076</t>
  </si>
  <si>
    <t>HIMALAYA VASAKA | SUPPORTS RESPIRATORY FUNCTIONS | TABLETS | 60 NO'S</t>
  </si>
  <si>
    <t>I48002</t>
  </si>
  <si>
    <t>HIMALAYA VRIKSHAMLA | MANAGES WEIGHT | TABLETS | 60 NO'S</t>
  </si>
  <si>
    <t>090950</t>
  </si>
  <si>
    <t>HIMALAYA YASHTIMADHU | RELIEVES ACIDITY | TABLETS | 60 NO'S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</si>
</sst>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/d"/>
    <numFmt numFmtId="165" formatCode="###0"/>
    <numFmt numFmtId="166" formatCode="#,##0.##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1B384-371D-4BB3-A170-B4FBB64C0372}">
  <dimension ref="A1:T39"/>
  <sheetViews>
    <sheetView tabSelected="1" topLeftCell="B1" workbookViewId="0">
      <selection activeCell="R2" sqref="R2:T39"/>
    </sheetView>
  </sheetViews>
  <sheetFormatPr defaultRowHeight="12.75" x14ac:dyDescent="0.2"/>
  <cols>
    <col min="20" max="20" width="18.1406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">
      <c r="A2" t="s">
        <v>20</v>
      </c>
      <c r="B2" t="s">
        <v>21</v>
      </c>
      <c r="C2" s="1">
        <v>46204</v>
      </c>
      <c r="D2" s="1">
        <v>46234</v>
      </c>
      <c r="E2" t="s">
        <v>22</v>
      </c>
      <c r="F2" t="s">
        <v>23</v>
      </c>
      <c r="G2" t="s">
        <v>24</v>
      </c>
      <c r="H2" t="s">
        <v>25</v>
      </c>
      <c r="I2" s="2">
        <v>173</v>
      </c>
      <c r="J2" s="2">
        <v>0</v>
      </c>
      <c r="K2" s="2">
        <v>0</v>
      </c>
      <c r="L2" s="2">
        <v>50</v>
      </c>
      <c r="M2" s="2">
        <v>1</v>
      </c>
      <c r="N2" s="2">
        <v>0</v>
      </c>
      <c r="O2" s="2">
        <v>0</v>
      </c>
      <c r="P2" s="2">
        <v>124</v>
      </c>
      <c r="Q2" s="2">
        <v>0</v>
      </c>
      <c r="R2" s="3">
        <v>7430</v>
      </c>
      <c r="S2" s="3">
        <v>0</v>
      </c>
      <c r="T2" s="4">
        <v>18426.399999999998</v>
      </c>
    </row>
    <row r="3" spans="1:20" x14ac:dyDescent="0.2">
      <c r="A3" t="s">
        <v>20</v>
      </c>
      <c r="B3" t="s">
        <v>21</v>
      </c>
      <c r="C3" s="1">
        <v>46204</v>
      </c>
      <c r="D3" s="1">
        <v>46234</v>
      </c>
      <c r="E3" t="s">
        <v>26</v>
      </c>
      <c r="F3" t="s">
        <v>27</v>
      </c>
      <c r="G3" t="s">
        <v>24</v>
      </c>
      <c r="H3" t="s">
        <v>25</v>
      </c>
      <c r="I3" s="2">
        <v>1</v>
      </c>
      <c r="J3" s="2">
        <v>0</v>
      </c>
      <c r="K3" s="2">
        <v>0</v>
      </c>
      <c r="L3" s="2">
        <v>1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4">
        <v>144.59</v>
      </c>
      <c r="S3" s="3">
        <v>0</v>
      </c>
      <c r="T3" s="3">
        <v>0</v>
      </c>
    </row>
    <row r="4" spans="1:20" x14ac:dyDescent="0.2">
      <c r="A4" t="s">
        <v>20</v>
      </c>
      <c r="B4" t="s">
        <v>21</v>
      </c>
      <c r="C4" s="1">
        <v>46204</v>
      </c>
      <c r="D4" s="1">
        <v>46234</v>
      </c>
      <c r="E4" t="s">
        <v>28</v>
      </c>
      <c r="F4" t="s">
        <v>29</v>
      </c>
      <c r="G4" t="s">
        <v>24</v>
      </c>
      <c r="H4" t="s">
        <v>25</v>
      </c>
      <c r="I4" s="2">
        <v>1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1</v>
      </c>
      <c r="Q4" s="2">
        <v>0</v>
      </c>
      <c r="R4" s="3">
        <v>0</v>
      </c>
      <c r="S4" s="3">
        <v>0</v>
      </c>
      <c r="T4" s="4">
        <v>156.82</v>
      </c>
    </row>
    <row r="5" spans="1:20" x14ac:dyDescent="0.2">
      <c r="A5" t="s">
        <v>20</v>
      </c>
      <c r="B5" t="s">
        <v>21</v>
      </c>
      <c r="C5" s="1">
        <v>46204</v>
      </c>
      <c r="D5" s="1">
        <v>46234</v>
      </c>
      <c r="E5" t="s">
        <v>30</v>
      </c>
      <c r="F5" t="s">
        <v>31</v>
      </c>
      <c r="G5" t="s">
        <v>24</v>
      </c>
      <c r="H5" t="s">
        <v>25</v>
      </c>
      <c r="I5" s="2">
        <v>2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2</v>
      </c>
      <c r="Q5" s="2">
        <v>0</v>
      </c>
      <c r="R5" s="3">
        <v>0</v>
      </c>
      <c r="S5" s="3">
        <v>0</v>
      </c>
      <c r="T5" s="4">
        <v>270.5</v>
      </c>
    </row>
    <row r="6" spans="1:20" x14ac:dyDescent="0.2">
      <c r="A6" t="s">
        <v>20</v>
      </c>
      <c r="B6" t="s">
        <v>21</v>
      </c>
      <c r="C6" s="1">
        <v>46204</v>
      </c>
      <c r="D6" s="1">
        <v>46234</v>
      </c>
      <c r="E6" t="s">
        <v>32</v>
      </c>
      <c r="F6" t="s">
        <v>33</v>
      </c>
      <c r="G6" t="s">
        <v>24</v>
      </c>
      <c r="H6" t="s">
        <v>25</v>
      </c>
      <c r="I6" s="2">
        <v>0</v>
      </c>
      <c r="J6" s="2">
        <v>0</v>
      </c>
      <c r="K6" s="2">
        <v>0</v>
      </c>
      <c r="L6" s="2">
        <v>3</v>
      </c>
      <c r="M6" s="2">
        <v>0</v>
      </c>
      <c r="N6" s="2">
        <v>0</v>
      </c>
      <c r="O6" s="2">
        <v>0</v>
      </c>
      <c r="P6" s="2">
        <v>2</v>
      </c>
      <c r="Q6" s="2">
        <v>0</v>
      </c>
      <c r="R6" s="4">
        <v>433.38</v>
      </c>
      <c r="S6" s="3">
        <v>0</v>
      </c>
      <c r="T6" s="4">
        <v>288.92</v>
      </c>
    </row>
    <row r="7" spans="1:20" x14ac:dyDescent="0.2">
      <c r="A7" t="s">
        <v>20</v>
      </c>
      <c r="B7" t="s">
        <v>21</v>
      </c>
      <c r="C7" s="1">
        <v>46204</v>
      </c>
      <c r="D7" s="1">
        <v>46234</v>
      </c>
      <c r="E7" t="s">
        <v>34</v>
      </c>
      <c r="F7" t="s">
        <v>35</v>
      </c>
      <c r="G7" t="s">
        <v>24</v>
      </c>
      <c r="H7" t="s">
        <v>25</v>
      </c>
      <c r="I7" s="2">
        <v>0</v>
      </c>
      <c r="J7" s="2">
        <v>0</v>
      </c>
      <c r="K7" s="2">
        <v>0</v>
      </c>
      <c r="L7" s="2">
        <v>1</v>
      </c>
      <c r="M7" s="2">
        <v>0</v>
      </c>
      <c r="N7" s="2">
        <v>0</v>
      </c>
      <c r="O7" s="2">
        <v>0</v>
      </c>
      <c r="P7" s="2">
        <v>1</v>
      </c>
      <c r="Q7" s="2">
        <v>0</v>
      </c>
      <c r="R7" s="4">
        <v>113.5</v>
      </c>
      <c r="S7" s="3">
        <v>0</v>
      </c>
      <c r="T7" s="4">
        <v>113.5</v>
      </c>
    </row>
    <row r="8" spans="1:20" x14ac:dyDescent="0.2">
      <c r="A8" t="s">
        <v>20</v>
      </c>
      <c r="B8" t="s">
        <v>21</v>
      </c>
      <c r="C8" s="1">
        <v>46204</v>
      </c>
      <c r="D8" s="1">
        <v>46234</v>
      </c>
      <c r="E8" t="s">
        <v>36</v>
      </c>
      <c r="F8" t="s">
        <v>37</v>
      </c>
      <c r="G8" t="s">
        <v>24</v>
      </c>
      <c r="H8" t="s">
        <v>25</v>
      </c>
      <c r="I8" s="2">
        <v>95</v>
      </c>
      <c r="J8" s="2">
        <v>0</v>
      </c>
      <c r="K8" s="2">
        <v>0</v>
      </c>
      <c r="L8" s="2">
        <v>57</v>
      </c>
      <c r="M8" s="2">
        <v>1</v>
      </c>
      <c r="N8" s="2">
        <v>10</v>
      </c>
      <c r="O8" s="2">
        <v>1</v>
      </c>
      <c r="P8" s="2">
        <v>30</v>
      </c>
      <c r="Q8" s="2">
        <v>1</v>
      </c>
      <c r="R8" s="4">
        <v>6600.0300000000007</v>
      </c>
      <c r="S8" s="4">
        <v>1157.9000000000001</v>
      </c>
      <c r="T8" s="4">
        <v>3473.7000000000003</v>
      </c>
    </row>
    <row r="9" spans="1:20" x14ac:dyDescent="0.2">
      <c r="A9" t="s">
        <v>20</v>
      </c>
      <c r="B9" t="s">
        <v>21</v>
      </c>
      <c r="C9" s="1">
        <v>46204</v>
      </c>
      <c r="D9" s="1">
        <v>46234</v>
      </c>
      <c r="E9" t="s">
        <v>38</v>
      </c>
      <c r="F9" t="s">
        <v>39</v>
      </c>
      <c r="G9" t="s">
        <v>24</v>
      </c>
      <c r="H9" t="s">
        <v>25</v>
      </c>
      <c r="I9" s="2">
        <v>44</v>
      </c>
      <c r="J9" s="2">
        <v>0</v>
      </c>
      <c r="K9" s="2">
        <v>0</v>
      </c>
      <c r="L9" s="2">
        <v>10</v>
      </c>
      <c r="M9" s="2">
        <v>0</v>
      </c>
      <c r="N9" s="2">
        <v>0</v>
      </c>
      <c r="O9" s="2">
        <v>0</v>
      </c>
      <c r="P9" s="2">
        <v>34</v>
      </c>
      <c r="Q9" s="2">
        <v>1</v>
      </c>
      <c r="R9" s="4">
        <v>944.7</v>
      </c>
      <c r="S9" s="3">
        <v>0</v>
      </c>
      <c r="T9" s="4">
        <v>3211.98</v>
      </c>
    </row>
    <row r="10" spans="1:20" x14ac:dyDescent="0.2">
      <c r="A10" t="s">
        <v>20</v>
      </c>
      <c r="B10" t="s">
        <v>21</v>
      </c>
      <c r="C10" s="1">
        <v>46204</v>
      </c>
      <c r="D10" s="1">
        <v>46234</v>
      </c>
      <c r="E10" t="s">
        <v>40</v>
      </c>
      <c r="F10" t="s">
        <v>41</v>
      </c>
      <c r="G10" t="s">
        <v>24</v>
      </c>
      <c r="H10" t="s">
        <v>25</v>
      </c>
      <c r="I10" s="2">
        <v>96</v>
      </c>
      <c r="J10" s="2">
        <v>50</v>
      </c>
      <c r="K10" s="2">
        <v>0</v>
      </c>
      <c r="L10" s="2">
        <v>74</v>
      </c>
      <c r="M10" s="2">
        <v>9</v>
      </c>
      <c r="N10" s="2">
        <v>0</v>
      </c>
      <c r="O10" s="2">
        <v>0</v>
      </c>
      <c r="P10" s="2">
        <v>81</v>
      </c>
      <c r="Q10" s="2">
        <v>1</v>
      </c>
      <c r="R10" s="4">
        <v>11066.7</v>
      </c>
      <c r="S10" s="3">
        <v>0</v>
      </c>
      <c r="T10" s="4">
        <v>12113.550000000001</v>
      </c>
    </row>
    <row r="11" spans="1:20" x14ac:dyDescent="0.2">
      <c r="A11" t="s">
        <v>20</v>
      </c>
      <c r="B11" t="s">
        <v>21</v>
      </c>
      <c r="C11" s="1">
        <v>46204</v>
      </c>
      <c r="D11" s="1">
        <v>46234</v>
      </c>
      <c r="E11" t="s">
        <v>42</v>
      </c>
      <c r="F11" t="s">
        <v>43</v>
      </c>
      <c r="G11" t="s">
        <v>24</v>
      </c>
      <c r="H11" t="s">
        <v>25</v>
      </c>
      <c r="I11" s="2">
        <v>7</v>
      </c>
      <c r="J11" s="2">
        <v>0</v>
      </c>
      <c r="K11" s="2">
        <v>0</v>
      </c>
      <c r="L11" s="2">
        <v>1</v>
      </c>
      <c r="M11" s="2">
        <v>0</v>
      </c>
      <c r="N11" s="2">
        <v>4</v>
      </c>
      <c r="O11" s="2">
        <v>0</v>
      </c>
      <c r="P11" s="2">
        <v>2</v>
      </c>
      <c r="Q11" s="2">
        <v>0</v>
      </c>
      <c r="R11" s="4">
        <v>60.94</v>
      </c>
      <c r="S11" s="4">
        <v>243.76</v>
      </c>
      <c r="T11" s="4">
        <v>121.88</v>
      </c>
    </row>
    <row r="12" spans="1:20" x14ac:dyDescent="0.2">
      <c r="A12" t="s">
        <v>20</v>
      </c>
      <c r="B12" t="s">
        <v>21</v>
      </c>
      <c r="C12" s="1">
        <v>46204</v>
      </c>
      <c r="D12" s="1">
        <v>46234</v>
      </c>
      <c r="E12" t="s">
        <v>44</v>
      </c>
      <c r="F12" t="s">
        <v>45</v>
      </c>
      <c r="G12" t="s">
        <v>24</v>
      </c>
      <c r="H12" t="s">
        <v>25</v>
      </c>
      <c r="I12" s="2">
        <v>130</v>
      </c>
      <c r="J12" s="2">
        <v>0</v>
      </c>
      <c r="K12" s="2">
        <v>0</v>
      </c>
      <c r="L12" s="2">
        <v>20</v>
      </c>
      <c r="M12" s="2">
        <v>1</v>
      </c>
      <c r="N12" s="2">
        <v>0</v>
      </c>
      <c r="O12" s="2">
        <v>0</v>
      </c>
      <c r="P12" s="2">
        <v>111</v>
      </c>
      <c r="Q12" s="2">
        <v>0</v>
      </c>
      <c r="R12" s="4">
        <v>3136.3999999999996</v>
      </c>
      <c r="S12" s="3">
        <v>0</v>
      </c>
      <c r="T12" s="4">
        <v>17407.02</v>
      </c>
    </row>
    <row r="13" spans="1:20" x14ac:dyDescent="0.2">
      <c r="A13" t="s">
        <v>20</v>
      </c>
      <c r="B13" t="s">
        <v>21</v>
      </c>
      <c r="C13" s="1">
        <v>46204</v>
      </c>
      <c r="D13" s="1">
        <v>46234</v>
      </c>
      <c r="E13" t="s">
        <v>46</v>
      </c>
      <c r="F13" t="s">
        <v>47</v>
      </c>
      <c r="G13" t="s">
        <v>24</v>
      </c>
      <c r="H13" t="s">
        <v>25</v>
      </c>
      <c r="I13" s="2">
        <v>2</v>
      </c>
      <c r="J13" s="2">
        <v>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5</v>
      </c>
      <c r="Q13" s="2">
        <v>1</v>
      </c>
      <c r="R13" s="3">
        <v>0</v>
      </c>
      <c r="S13" s="3">
        <v>0</v>
      </c>
      <c r="T13" s="4">
        <v>1416.9499999999998</v>
      </c>
    </row>
    <row r="14" spans="1:20" x14ac:dyDescent="0.2">
      <c r="A14" t="s">
        <v>20</v>
      </c>
      <c r="B14" t="s">
        <v>21</v>
      </c>
      <c r="C14" s="1">
        <v>46204</v>
      </c>
      <c r="D14" s="1">
        <v>46234</v>
      </c>
      <c r="E14" t="s">
        <v>48</v>
      </c>
      <c r="F14" t="s">
        <v>49</v>
      </c>
      <c r="G14" t="s">
        <v>24</v>
      </c>
      <c r="H14" t="s">
        <v>25</v>
      </c>
      <c r="I14" s="2">
        <v>34</v>
      </c>
      <c r="J14" s="2">
        <v>0</v>
      </c>
      <c r="K14" s="2">
        <v>0</v>
      </c>
      <c r="L14" s="2">
        <v>11</v>
      </c>
      <c r="M14" s="2">
        <v>7</v>
      </c>
      <c r="N14" s="2">
        <v>0</v>
      </c>
      <c r="O14" s="2">
        <v>0</v>
      </c>
      <c r="P14" s="2">
        <v>30</v>
      </c>
      <c r="Q14" s="2">
        <v>1</v>
      </c>
      <c r="R14" s="4">
        <v>624.14</v>
      </c>
      <c r="S14" s="3">
        <v>0</v>
      </c>
      <c r="T14" s="4">
        <v>1702.2</v>
      </c>
    </row>
    <row r="15" spans="1:20" x14ac:dyDescent="0.2">
      <c r="A15" t="s">
        <v>20</v>
      </c>
      <c r="B15" t="s">
        <v>21</v>
      </c>
      <c r="C15" s="1">
        <v>46204</v>
      </c>
      <c r="D15" s="1">
        <v>46234</v>
      </c>
      <c r="E15" t="s">
        <v>50</v>
      </c>
      <c r="F15" t="s">
        <v>51</v>
      </c>
      <c r="G15" t="s">
        <v>24</v>
      </c>
      <c r="H15" t="s">
        <v>25</v>
      </c>
      <c r="I15" s="2">
        <v>51</v>
      </c>
      <c r="J15" s="2">
        <v>0</v>
      </c>
      <c r="K15" s="2">
        <v>0</v>
      </c>
      <c r="L15" s="2">
        <v>22</v>
      </c>
      <c r="M15" s="2">
        <v>1</v>
      </c>
      <c r="N15" s="2">
        <v>0</v>
      </c>
      <c r="O15" s="2">
        <v>0</v>
      </c>
      <c r="P15" s="2">
        <v>32</v>
      </c>
      <c r="Q15" s="2">
        <v>0</v>
      </c>
      <c r="R15" s="4">
        <v>2312.8599999999997</v>
      </c>
      <c r="S15" s="3">
        <v>0</v>
      </c>
      <c r="T15" s="4">
        <v>3364.16</v>
      </c>
    </row>
    <row r="16" spans="1:20" x14ac:dyDescent="0.2">
      <c r="A16" t="s">
        <v>20</v>
      </c>
      <c r="B16" t="s">
        <v>21</v>
      </c>
      <c r="C16" s="1">
        <v>46204</v>
      </c>
      <c r="D16" s="1">
        <v>46234</v>
      </c>
      <c r="E16" t="s">
        <v>52</v>
      </c>
      <c r="F16" t="s">
        <v>53</v>
      </c>
      <c r="G16" t="s">
        <v>24</v>
      </c>
      <c r="H16" t="s">
        <v>25</v>
      </c>
      <c r="I16" s="2">
        <v>81</v>
      </c>
      <c r="J16" s="2">
        <v>0</v>
      </c>
      <c r="K16" s="2">
        <v>0</v>
      </c>
      <c r="L16" s="2">
        <v>27</v>
      </c>
      <c r="M16" s="2">
        <v>3</v>
      </c>
      <c r="N16" s="2">
        <v>0</v>
      </c>
      <c r="O16" s="2">
        <v>1</v>
      </c>
      <c r="P16" s="2">
        <v>58</v>
      </c>
      <c r="Q16" s="2">
        <v>0</v>
      </c>
      <c r="R16" s="4">
        <v>5543.9100000000008</v>
      </c>
      <c r="S16" s="3">
        <v>0</v>
      </c>
      <c r="T16" s="4">
        <v>11909.140000000001</v>
      </c>
    </row>
    <row r="17" spans="1:20" x14ac:dyDescent="0.2">
      <c r="A17" t="s">
        <v>20</v>
      </c>
      <c r="B17" t="s">
        <v>21</v>
      </c>
      <c r="C17" s="1">
        <v>46204</v>
      </c>
      <c r="D17" s="1">
        <v>46234</v>
      </c>
      <c r="E17" t="s">
        <v>54</v>
      </c>
      <c r="F17" t="s">
        <v>55</v>
      </c>
      <c r="G17" t="s">
        <v>24</v>
      </c>
      <c r="H17" t="s">
        <v>25</v>
      </c>
      <c r="I17" s="2">
        <v>85</v>
      </c>
      <c r="J17" s="2">
        <v>84</v>
      </c>
      <c r="K17" s="2">
        <v>0</v>
      </c>
      <c r="L17" s="2">
        <v>76</v>
      </c>
      <c r="M17" s="2">
        <v>4</v>
      </c>
      <c r="N17" s="2">
        <v>0</v>
      </c>
      <c r="O17" s="2">
        <v>0</v>
      </c>
      <c r="P17" s="2">
        <v>97</v>
      </c>
      <c r="Q17" s="2">
        <v>0</v>
      </c>
      <c r="R17" s="4">
        <v>5095.0400000000009</v>
      </c>
      <c r="S17" s="3">
        <v>0</v>
      </c>
      <c r="T17" s="4">
        <v>6502.880000000001</v>
      </c>
    </row>
    <row r="18" spans="1:20" x14ac:dyDescent="0.2">
      <c r="A18" t="s">
        <v>20</v>
      </c>
      <c r="B18" t="s">
        <v>21</v>
      </c>
      <c r="C18" s="1">
        <v>46204</v>
      </c>
      <c r="D18" s="1">
        <v>46234</v>
      </c>
      <c r="E18" t="s">
        <v>56</v>
      </c>
      <c r="F18" t="s">
        <v>57</v>
      </c>
      <c r="G18" t="s">
        <v>24</v>
      </c>
      <c r="H18" t="s">
        <v>25</v>
      </c>
      <c r="I18" s="2">
        <v>5</v>
      </c>
      <c r="J18" s="2">
        <v>0</v>
      </c>
      <c r="K18" s="2">
        <v>0</v>
      </c>
      <c r="L18" s="2">
        <v>0</v>
      </c>
      <c r="M18" s="2">
        <v>1</v>
      </c>
      <c r="N18" s="2">
        <v>0</v>
      </c>
      <c r="O18" s="2">
        <v>0</v>
      </c>
      <c r="P18" s="2">
        <v>1</v>
      </c>
      <c r="Q18" s="2">
        <v>0</v>
      </c>
      <c r="R18" s="3">
        <v>0</v>
      </c>
      <c r="S18" s="3">
        <v>0</v>
      </c>
      <c r="T18" s="4">
        <v>96.21</v>
      </c>
    </row>
    <row r="19" spans="1:20" x14ac:dyDescent="0.2">
      <c r="A19" t="s">
        <v>20</v>
      </c>
      <c r="B19" t="s">
        <v>21</v>
      </c>
      <c r="C19" s="1">
        <v>46204</v>
      </c>
      <c r="D19" s="1">
        <v>46234</v>
      </c>
      <c r="E19" t="s">
        <v>58</v>
      </c>
      <c r="F19" t="s">
        <v>59</v>
      </c>
      <c r="G19" t="s">
        <v>24</v>
      </c>
      <c r="H19" t="s">
        <v>25</v>
      </c>
      <c r="I19" s="2">
        <v>225</v>
      </c>
      <c r="J19" s="2">
        <v>210</v>
      </c>
      <c r="K19" s="2">
        <v>0</v>
      </c>
      <c r="L19" s="2">
        <v>284</v>
      </c>
      <c r="M19" s="2">
        <v>8</v>
      </c>
      <c r="N19" s="2">
        <v>62</v>
      </c>
      <c r="O19" s="2">
        <v>7</v>
      </c>
      <c r="P19" s="2">
        <v>104</v>
      </c>
      <c r="Q19" s="2">
        <v>0</v>
      </c>
      <c r="R19" s="4">
        <v>26852.2</v>
      </c>
      <c r="S19" s="4">
        <v>5862.0999999999995</v>
      </c>
      <c r="T19" s="4">
        <v>9833.1999999999989</v>
      </c>
    </row>
    <row r="20" spans="1:20" x14ac:dyDescent="0.2">
      <c r="A20" t="s">
        <v>20</v>
      </c>
      <c r="B20" t="s">
        <v>21</v>
      </c>
      <c r="C20" s="1">
        <v>46204</v>
      </c>
      <c r="D20" s="1">
        <v>46234</v>
      </c>
      <c r="E20" t="s">
        <v>60</v>
      </c>
      <c r="F20" t="s">
        <v>61</v>
      </c>
      <c r="G20" t="s">
        <v>24</v>
      </c>
      <c r="H20" t="s">
        <v>25</v>
      </c>
      <c r="I20" s="2">
        <v>318</v>
      </c>
      <c r="J20" s="2">
        <v>140</v>
      </c>
      <c r="K20" s="2">
        <v>0</v>
      </c>
      <c r="L20" s="2">
        <v>249</v>
      </c>
      <c r="M20" s="2">
        <v>9</v>
      </c>
      <c r="N20" s="2">
        <v>66</v>
      </c>
      <c r="O20" s="2">
        <v>1</v>
      </c>
      <c r="P20" s="2">
        <v>200</v>
      </c>
      <c r="Q20" s="2">
        <v>0</v>
      </c>
      <c r="R20" s="4">
        <v>39354.450000000004</v>
      </c>
      <c r="S20" s="4">
        <v>10431.300000000001</v>
      </c>
      <c r="T20" s="3">
        <v>31610.000000000004</v>
      </c>
    </row>
    <row r="21" spans="1:20" x14ac:dyDescent="0.2">
      <c r="A21" t="s">
        <v>20</v>
      </c>
      <c r="B21" t="s">
        <v>21</v>
      </c>
      <c r="C21" s="1">
        <v>46204</v>
      </c>
      <c r="D21" s="1">
        <v>46234</v>
      </c>
      <c r="E21" t="s">
        <v>62</v>
      </c>
      <c r="F21" t="s">
        <v>63</v>
      </c>
      <c r="G21" t="s">
        <v>24</v>
      </c>
      <c r="H21" t="s">
        <v>25</v>
      </c>
      <c r="I21" s="2">
        <v>150</v>
      </c>
      <c r="J21" s="2">
        <v>500</v>
      </c>
      <c r="K21" s="2">
        <v>0</v>
      </c>
      <c r="L21" s="2">
        <v>399</v>
      </c>
      <c r="M21" s="2">
        <v>8</v>
      </c>
      <c r="N21" s="2">
        <v>63</v>
      </c>
      <c r="O21" s="2">
        <v>-3</v>
      </c>
      <c r="P21" s="2">
        <v>193</v>
      </c>
      <c r="Q21" s="2">
        <v>0</v>
      </c>
      <c r="R21" s="4">
        <v>57511.859999999993</v>
      </c>
      <c r="S21" s="4">
        <v>9080.82</v>
      </c>
      <c r="T21" s="4">
        <v>27819.019999999997</v>
      </c>
    </row>
    <row r="22" spans="1:20" x14ac:dyDescent="0.2">
      <c r="A22" t="s">
        <v>20</v>
      </c>
      <c r="B22" t="s">
        <v>21</v>
      </c>
      <c r="C22" s="1">
        <v>46204</v>
      </c>
      <c r="D22" s="1">
        <v>46234</v>
      </c>
      <c r="E22" t="s">
        <v>64</v>
      </c>
      <c r="F22" t="s">
        <v>65</v>
      </c>
      <c r="G22" t="s">
        <v>24</v>
      </c>
      <c r="H22" t="s">
        <v>25</v>
      </c>
      <c r="I22" s="2">
        <v>64</v>
      </c>
      <c r="J22" s="2">
        <v>72</v>
      </c>
      <c r="K22" s="2">
        <v>0</v>
      </c>
      <c r="L22" s="2">
        <v>74</v>
      </c>
      <c r="M22" s="2">
        <v>1</v>
      </c>
      <c r="N22" s="2">
        <v>0</v>
      </c>
      <c r="O22" s="2">
        <v>1</v>
      </c>
      <c r="P22" s="2">
        <v>70</v>
      </c>
      <c r="Q22" s="2">
        <v>7</v>
      </c>
      <c r="R22" s="4">
        <v>5128.2</v>
      </c>
      <c r="S22" s="3">
        <v>0</v>
      </c>
      <c r="T22" s="3">
        <v>4851</v>
      </c>
    </row>
    <row r="23" spans="1:20" x14ac:dyDescent="0.2">
      <c r="A23" t="s">
        <v>20</v>
      </c>
      <c r="B23" t="s">
        <v>21</v>
      </c>
      <c r="C23" s="1">
        <v>46204</v>
      </c>
      <c r="D23" s="1">
        <v>46234</v>
      </c>
      <c r="E23" t="s">
        <v>66</v>
      </c>
      <c r="F23" t="s">
        <v>67</v>
      </c>
      <c r="G23" t="s">
        <v>24</v>
      </c>
      <c r="H23" t="s">
        <v>25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2</v>
      </c>
      <c r="Q23" s="2">
        <v>0</v>
      </c>
      <c r="R23" s="3">
        <v>0</v>
      </c>
      <c r="S23" s="3">
        <v>0</v>
      </c>
      <c r="T23" s="4">
        <v>44.1</v>
      </c>
    </row>
    <row r="24" spans="1:20" x14ac:dyDescent="0.2">
      <c r="A24" t="s">
        <v>20</v>
      </c>
      <c r="B24" t="s">
        <v>21</v>
      </c>
      <c r="C24" s="1">
        <v>46204</v>
      </c>
      <c r="D24" s="1">
        <v>46234</v>
      </c>
      <c r="E24" t="s">
        <v>68</v>
      </c>
      <c r="F24" t="s">
        <v>69</v>
      </c>
      <c r="G24" t="s">
        <v>24</v>
      </c>
      <c r="H24" t="s">
        <v>25</v>
      </c>
      <c r="I24" s="2">
        <v>0</v>
      </c>
      <c r="J24" s="2">
        <v>0</v>
      </c>
      <c r="K24" s="2">
        <v>0</v>
      </c>
      <c r="L24" s="2">
        <v>3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4">
        <v>316.02</v>
      </c>
      <c r="S24" s="3">
        <v>0</v>
      </c>
      <c r="T24" s="3">
        <v>0</v>
      </c>
    </row>
    <row r="25" spans="1:20" x14ac:dyDescent="0.2">
      <c r="A25" t="s">
        <v>20</v>
      </c>
      <c r="B25" t="s">
        <v>21</v>
      </c>
      <c r="C25" s="1">
        <v>46204</v>
      </c>
      <c r="D25" s="1">
        <v>46234</v>
      </c>
      <c r="E25" t="s">
        <v>70</v>
      </c>
      <c r="F25" t="s">
        <v>71</v>
      </c>
      <c r="G25" t="s">
        <v>24</v>
      </c>
      <c r="H25" t="s">
        <v>25</v>
      </c>
      <c r="I25" s="2">
        <v>199</v>
      </c>
      <c r="J25" s="2">
        <v>300</v>
      </c>
      <c r="K25" s="2">
        <v>0</v>
      </c>
      <c r="L25" s="2">
        <v>367</v>
      </c>
      <c r="M25" s="2">
        <v>11</v>
      </c>
      <c r="N25" s="2">
        <v>31</v>
      </c>
      <c r="O25" s="2">
        <v>0</v>
      </c>
      <c r="P25" s="2">
        <v>112</v>
      </c>
      <c r="Q25" s="2">
        <v>0</v>
      </c>
      <c r="R25" s="4">
        <v>48873.389999999992</v>
      </c>
      <c r="S25" s="4">
        <v>4128.2699999999995</v>
      </c>
      <c r="T25" s="4">
        <v>14915.039999999999</v>
      </c>
    </row>
    <row r="26" spans="1:20" x14ac:dyDescent="0.2">
      <c r="A26" t="s">
        <v>20</v>
      </c>
      <c r="B26" t="s">
        <v>21</v>
      </c>
      <c r="C26" s="1">
        <v>46204</v>
      </c>
      <c r="D26" s="1">
        <v>46234</v>
      </c>
      <c r="E26" t="s">
        <v>72</v>
      </c>
      <c r="F26" t="s">
        <v>73</v>
      </c>
      <c r="G26" t="s">
        <v>24</v>
      </c>
      <c r="H26" t="s">
        <v>25</v>
      </c>
      <c r="I26" s="2">
        <v>354</v>
      </c>
      <c r="J26" s="2">
        <v>300</v>
      </c>
      <c r="K26" s="2">
        <v>0</v>
      </c>
      <c r="L26" s="2">
        <v>360</v>
      </c>
      <c r="M26" s="2">
        <v>2</v>
      </c>
      <c r="N26" s="2">
        <v>78</v>
      </c>
      <c r="O26" s="2">
        <v>0</v>
      </c>
      <c r="P26" s="2">
        <v>220</v>
      </c>
      <c r="Q26" s="2">
        <v>0</v>
      </c>
      <c r="R26" s="4">
        <v>40629.599999999999</v>
      </c>
      <c r="S26" s="4">
        <v>8803.08</v>
      </c>
      <c r="T26" s="4">
        <v>24829.200000000001</v>
      </c>
    </row>
    <row r="27" spans="1:20" x14ac:dyDescent="0.2">
      <c r="A27" t="s">
        <v>20</v>
      </c>
      <c r="B27" t="s">
        <v>21</v>
      </c>
      <c r="C27" s="1">
        <v>46204</v>
      </c>
      <c r="D27" s="1">
        <v>46234</v>
      </c>
      <c r="E27" t="s">
        <v>74</v>
      </c>
      <c r="F27" t="s">
        <v>75</v>
      </c>
      <c r="G27" t="s">
        <v>24</v>
      </c>
      <c r="H27" t="s">
        <v>25</v>
      </c>
      <c r="I27" s="2">
        <v>41</v>
      </c>
      <c r="J27" s="2">
        <v>0</v>
      </c>
      <c r="K27" s="2">
        <v>0</v>
      </c>
      <c r="L27" s="2">
        <v>6</v>
      </c>
      <c r="M27" s="2">
        <v>0</v>
      </c>
      <c r="N27" s="2">
        <v>0</v>
      </c>
      <c r="O27" s="2">
        <v>1</v>
      </c>
      <c r="P27" s="2">
        <v>36</v>
      </c>
      <c r="Q27" s="2">
        <v>0</v>
      </c>
      <c r="R27" s="4">
        <v>685.68000000000006</v>
      </c>
      <c r="S27" s="3">
        <v>0</v>
      </c>
      <c r="T27" s="4">
        <v>4114.08</v>
      </c>
    </row>
    <row r="28" spans="1:20" x14ac:dyDescent="0.2">
      <c r="A28" t="s">
        <v>20</v>
      </c>
      <c r="B28" t="s">
        <v>21</v>
      </c>
      <c r="C28" s="1">
        <v>46204</v>
      </c>
      <c r="D28" s="1">
        <v>46234</v>
      </c>
      <c r="E28" t="s">
        <v>76</v>
      </c>
      <c r="F28" t="s">
        <v>77</v>
      </c>
      <c r="G28" t="s">
        <v>24</v>
      </c>
      <c r="H28" t="s">
        <v>25</v>
      </c>
      <c r="I28" s="2">
        <v>65</v>
      </c>
      <c r="J28" s="2">
        <v>0</v>
      </c>
      <c r="K28" s="2">
        <v>0</v>
      </c>
      <c r="L28" s="2">
        <v>21</v>
      </c>
      <c r="M28" s="2">
        <v>1</v>
      </c>
      <c r="N28" s="2">
        <v>13</v>
      </c>
      <c r="O28" s="2">
        <v>0</v>
      </c>
      <c r="P28" s="2">
        <v>32</v>
      </c>
      <c r="Q28" s="2">
        <v>0</v>
      </c>
      <c r="R28" s="4">
        <v>1267.1400000000001</v>
      </c>
      <c r="S28" s="4">
        <v>784.42000000000007</v>
      </c>
      <c r="T28" s="4">
        <v>1930.88</v>
      </c>
    </row>
    <row r="29" spans="1:20" x14ac:dyDescent="0.2">
      <c r="A29" t="s">
        <v>20</v>
      </c>
      <c r="B29" t="s">
        <v>21</v>
      </c>
      <c r="C29" s="1">
        <v>46204</v>
      </c>
      <c r="D29" s="1">
        <v>46234</v>
      </c>
      <c r="E29" t="s">
        <v>78</v>
      </c>
      <c r="F29" t="s">
        <v>79</v>
      </c>
      <c r="G29" t="s">
        <v>24</v>
      </c>
      <c r="H29" t="s">
        <v>25</v>
      </c>
      <c r="I29" s="2">
        <v>2</v>
      </c>
      <c r="J29" s="2">
        <v>0</v>
      </c>
      <c r="K29" s="2">
        <v>0</v>
      </c>
      <c r="L29" s="2">
        <v>2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4">
        <v>283.68</v>
      </c>
      <c r="S29" s="3">
        <v>0</v>
      </c>
      <c r="T29" s="3">
        <v>0</v>
      </c>
    </row>
    <row r="30" spans="1:20" x14ac:dyDescent="0.2">
      <c r="A30" t="s">
        <v>20</v>
      </c>
      <c r="B30" t="s">
        <v>21</v>
      </c>
      <c r="C30" s="1">
        <v>46204</v>
      </c>
      <c r="D30" s="1">
        <v>46234</v>
      </c>
      <c r="E30" t="s">
        <v>80</v>
      </c>
      <c r="F30" t="s">
        <v>81</v>
      </c>
      <c r="G30" t="s">
        <v>24</v>
      </c>
      <c r="H30" t="s">
        <v>25</v>
      </c>
      <c r="I30" s="2">
        <v>35</v>
      </c>
      <c r="J30" s="2">
        <v>0</v>
      </c>
      <c r="K30" s="2">
        <v>0</v>
      </c>
      <c r="L30" s="2">
        <v>29</v>
      </c>
      <c r="M30" s="2">
        <v>0</v>
      </c>
      <c r="N30" s="2">
        <v>6</v>
      </c>
      <c r="O30" s="2">
        <v>0</v>
      </c>
      <c r="P30" s="2">
        <v>0</v>
      </c>
      <c r="Q30" s="2">
        <v>0</v>
      </c>
      <c r="R30" s="4">
        <v>5906.14</v>
      </c>
      <c r="S30" s="4">
        <v>1221.96</v>
      </c>
      <c r="T30" s="3">
        <v>0</v>
      </c>
    </row>
    <row r="31" spans="1:20" x14ac:dyDescent="0.2">
      <c r="A31" t="s">
        <v>20</v>
      </c>
      <c r="B31" t="s">
        <v>21</v>
      </c>
      <c r="C31" s="1">
        <v>46204</v>
      </c>
      <c r="D31" s="1">
        <v>46234</v>
      </c>
      <c r="E31" t="s">
        <v>82</v>
      </c>
      <c r="F31" t="s">
        <v>83</v>
      </c>
      <c r="G31" t="s">
        <v>24</v>
      </c>
      <c r="H31" t="s">
        <v>25</v>
      </c>
      <c r="I31" s="2">
        <v>0</v>
      </c>
      <c r="J31" s="2">
        <v>0</v>
      </c>
      <c r="K31" s="2">
        <v>0</v>
      </c>
      <c r="L31" s="2">
        <v>3</v>
      </c>
      <c r="M31" s="2">
        <v>0</v>
      </c>
      <c r="N31" s="2">
        <v>0</v>
      </c>
      <c r="O31" s="2">
        <v>0</v>
      </c>
      <c r="P31" s="2">
        <v>0</v>
      </c>
      <c r="Q31" s="2">
        <v>2</v>
      </c>
      <c r="R31" s="4">
        <v>651.45000000000005</v>
      </c>
      <c r="S31" s="3">
        <v>0</v>
      </c>
      <c r="T31" s="3">
        <v>0</v>
      </c>
    </row>
    <row r="32" spans="1:20" x14ac:dyDescent="0.2">
      <c r="A32" t="s">
        <v>20</v>
      </c>
      <c r="B32" t="s">
        <v>21</v>
      </c>
      <c r="C32" s="1">
        <v>46204</v>
      </c>
      <c r="D32" s="1">
        <v>46234</v>
      </c>
      <c r="E32" t="s">
        <v>84</v>
      </c>
      <c r="F32" t="s">
        <v>85</v>
      </c>
      <c r="G32" t="s">
        <v>24</v>
      </c>
      <c r="H32" t="s">
        <v>25</v>
      </c>
      <c r="I32" s="2">
        <v>23</v>
      </c>
      <c r="J32" s="2">
        <v>0</v>
      </c>
      <c r="K32" s="2">
        <v>0</v>
      </c>
      <c r="L32" s="2">
        <v>23</v>
      </c>
      <c r="M32" s="2">
        <v>1</v>
      </c>
      <c r="N32" s="2">
        <v>0</v>
      </c>
      <c r="O32" s="2">
        <v>-1</v>
      </c>
      <c r="P32" s="2">
        <v>0</v>
      </c>
      <c r="Q32" s="2">
        <v>0</v>
      </c>
      <c r="R32" s="4">
        <v>4617.71</v>
      </c>
      <c r="S32" s="3">
        <v>0</v>
      </c>
      <c r="T32" s="3">
        <v>0</v>
      </c>
    </row>
    <row r="33" spans="1:20" x14ac:dyDescent="0.2">
      <c r="A33" t="s">
        <v>20</v>
      </c>
      <c r="B33" t="s">
        <v>21</v>
      </c>
      <c r="C33" s="1">
        <v>46204</v>
      </c>
      <c r="D33" s="1">
        <v>46234</v>
      </c>
      <c r="E33" t="s">
        <v>86</v>
      </c>
      <c r="F33" t="s">
        <v>87</v>
      </c>
      <c r="G33" t="s">
        <v>24</v>
      </c>
      <c r="H33" t="s">
        <v>25</v>
      </c>
      <c r="I33" s="2">
        <v>253</v>
      </c>
      <c r="J33" s="2">
        <v>300</v>
      </c>
      <c r="K33" s="2">
        <v>0</v>
      </c>
      <c r="L33" s="2">
        <v>186</v>
      </c>
      <c r="M33" s="2">
        <v>13</v>
      </c>
      <c r="N33" s="2">
        <v>0</v>
      </c>
      <c r="O33" s="2">
        <v>7</v>
      </c>
      <c r="P33" s="2">
        <v>387</v>
      </c>
      <c r="Q33" s="2">
        <v>1</v>
      </c>
      <c r="R33" s="4">
        <v>15311.519999999999</v>
      </c>
      <c r="S33" s="3">
        <v>0</v>
      </c>
      <c r="T33" s="4">
        <v>31857.839999999997</v>
      </c>
    </row>
    <row r="34" spans="1:20" x14ac:dyDescent="0.2">
      <c r="A34" t="s">
        <v>20</v>
      </c>
      <c r="B34" t="s">
        <v>21</v>
      </c>
      <c r="C34" s="1">
        <v>46204</v>
      </c>
      <c r="D34" s="1">
        <v>46234</v>
      </c>
      <c r="E34" t="s">
        <v>88</v>
      </c>
      <c r="F34" t="s">
        <v>89</v>
      </c>
      <c r="G34" t="s">
        <v>24</v>
      </c>
      <c r="H34" t="s">
        <v>25</v>
      </c>
      <c r="I34" s="2">
        <v>153</v>
      </c>
      <c r="J34" s="2">
        <v>0</v>
      </c>
      <c r="K34" s="2">
        <v>0</v>
      </c>
      <c r="L34" s="2">
        <v>69</v>
      </c>
      <c r="M34" s="2">
        <v>4</v>
      </c>
      <c r="N34" s="2">
        <v>0</v>
      </c>
      <c r="O34" s="2">
        <v>0</v>
      </c>
      <c r="P34" s="2">
        <v>88</v>
      </c>
      <c r="Q34" s="2">
        <v>0</v>
      </c>
      <c r="R34" s="4">
        <v>14052.539999999999</v>
      </c>
      <c r="S34" s="3">
        <v>0</v>
      </c>
      <c r="T34" s="4">
        <v>17922.079999999998</v>
      </c>
    </row>
    <row r="35" spans="1:20" x14ac:dyDescent="0.2">
      <c r="A35" t="s">
        <v>20</v>
      </c>
      <c r="B35" t="s">
        <v>21</v>
      </c>
      <c r="C35" s="1">
        <v>46204</v>
      </c>
      <c r="D35" s="1">
        <v>46234</v>
      </c>
      <c r="E35" t="s">
        <v>90</v>
      </c>
      <c r="F35" t="s">
        <v>91</v>
      </c>
      <c r="G35" t="s">
        <v>24</v>
      </c>
      <c r="H35" t="s">
        <v>25</v>
      </c>
      <c r="I35" s="2">
        <v>1</v>
      </c>
      <c r="J35" s="2">
        <v>0</v>
      </c>
      <c r="K35" s="2">
        <v>1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3">
        <v>0</v>
      </c>
      <c r="S35" s="3">
        <v>0</v>
      </c>
      <c r="T35" s="3">
        <v>0</v>
      </c>
    </row>
    <row r="36" spans="1:20" x14ac:dyDescent="0.2">
      <c r="A36" t="s">
        <v>20</v>
      </c>
      <c r="B36" t="s">
        <v>21</v>
      </c>
      <c r="C36" s="1">
        <v>46204</v>
      </c>
      <c r="D36" s="1">
        <v>46234</v>
      </c>
      <c r="E36" t="s">
        <v>92</v>
      </c>
      <c r="F36" t="s">
        <v>93</v>
      </c>
      <c r="G36" t="s">
        <v>24</v>
      </c>
      <c r="H36" t="s">
        <v>25</v>
      </c>
      <c r="I36" s="2">
        <v>1</v>
      </c>
      <c r="J36" s="2">
        <v>0</v>
      </c>
      <c r="K36" s="2">
        <v>0</v>
      </c>
      <c r="L36" s="2">
        <v>2</v>
      </c>
      <c r="M36" s="2">
        <v>0</v>
      </c>
      <c r="N36" s="2">
        <v>0</v>
      </c>
      <c r="O36" s="2">
        <v>0</v>
      </c>
      <c r="P36" s="2">
        <v>1</v>
      </c>
      <c r="Q36" s="2">
        <v>0</v>
      </c>
      <c r="R36" s="4">
        <v>373.36</v>
      </c>
      <c r="S36" s="3">
        <v>0</v>
      </c>
      <c r="T36" s="4">
        <v>186.68</v>
      </c>
    </row>
    <row r="37" spans="1:20" x14ac:dyDescent="0.2">
      <c r="A37" t="s">
        <v>20</v>
      </c>
      <c r="B37" t="s">
        <v>21</v>
      </c>
      <c r="C37" s="1">
        <v>46204</v>
      </c>
      <c r="D37" s="1">
        <v>46234</v>
      </c>
      <c r="E37" t="s">
        <v>94</v>
      </c>
      <c r="F37" t="s">
        <v>95</v>
      </c>
      <c r="G37" t="s">
        <v>24</v>
      </c>
      <c r="H37" t="s">
        <v>25</v>
      </c>
      <c r="I37" s="2">
        <v>26</v>
      </c>
      <c r="J37" s="2">
        <v>0</v>
      </c>
      <c r="K37" s="2">
        <v>0</v>
      </c>
      <c r="L37" s="2">
        <v>26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4">
        <v>5162.82</v>
      </c>
      <c r="S37" s="3">
        <v>0</v>
      </c>
      <c r="T37" s="3">
        <v>0</v>
      </c>
    </row>
    <row r="38" spans="1:20" x14ac:dyDescent="0.2">
      <c r="A38" t="s">
        <v>20</v>
      </c>
      <c r="B38" t="s">
        <v>21</v>
      </c>
      <c r="C38" s="1">
        <v>46204</v>
      </c>
      <c r="D38" s="1">
        <v>46234</v>
      </c>
      <c r="E38" t="s">
        <v>96</v>
      </c>
      <c r="F38" t="s">
        <v>97</v>
      </c>
      <c r="G38" t="s">
        <v>24</v>
      </c>
      <c r="H38" t="s">
        <v>25</v>
      </c>
      <c r="I38" s="2">
        <v>52</v>
      </c>
      <c r="J38" s="2">
        <v>0</v>
      </c>
      <c r="K38" s="2">
        <v>0</v>
      </c>
      <c r="L38" s="2">
        <v>5</v>
      </c>
      <c r="M38" s="2">
        <v>0</v>
      </c>
      <c r="N38" s="2">
        <v>0</v>
      </c>
      <c r="O38" s="2">
        <v>0</v>
      </c>
      <c r="P38" s="2">
        <v>47</v>
      </c>
      <c r="Q38" s="2">
        <v>0</v>
      </c>
      <c r="R38" s="3">
        <v>947</v>
      </c>
      <c r="S38" s="3">
        <v>0</v>
      </c>
      <c r="T38" s="4">
        <v>8901.8000000000011</v>
      </c>
    </row>
    <row r="39" spans="1:20" x14ac:dyDescent="0.2">
      <c r="R39" s="3">
        <f>SUM(R2:R38)</f>
        <v>311430.95</v>
      </c>
      <c r="S39" s="3">
        <f>SUM(S2:S38)</f>
        <v>41713.61</v>
      </c>
      <c r="T39" s="4">
        <f>SUM(T2:T38)</f>
        <v>259390.72999999998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Ascent</dc:creator>
  <cp:lastModifiedBy>Ascent</cp:lastModifiedBy>
  <dcterms:created xsi:type="dcterms:W3CDTF">2026-08-01T06:24:40Z</dcterms:created>
  <dcterms:modified xsi:type="dcterms:W3CDTF">2026-08-01T06:25:05Z</dcterms:modified>
</cp:coreProperties>
</file>