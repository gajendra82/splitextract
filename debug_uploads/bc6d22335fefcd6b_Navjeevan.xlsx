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10050"/>
  </bookViews>
  <sheets>
    <sheet name="XLS2045" sheetId="1" r:id="rId1"/>
  </sheets>
  <calcPr calcId="144525"/>
</workbook>
</file>

<file path=xl/calcChain.xml><?xml version="1.0" encoding="utf-8"?>
<calcChain xmlns="http://schemas.openxmlformats.org/spreadsheetml/2006/main">
  <c r="T7" i="1" l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<sst xmlns="http://schemas.openxmlformats.org/spreadsheetml/2006/main" count="98" uniqueCount="54">
  <si>
    <t>BLEMINOR-ANTI BLEMISH CREAM</t>
  </si>
  <si>
    <t>30 ML</t>
  </si>
  <si>
    <t>300490</t>
  </si>
  <si>
    <t>CLARINA CREAM</t>
  </si>
  <si>
    <t>30 GM</t>
  </si>
  <si>
    <t>30049011</t>
  </si>
  <si>
    <t>HAIRZONE SOLUTION</t>
  </si>
  <si>
    <t>60 ML</t>
  </si>
  <si>
    <t>HERBOLAX CAP</t>
  </si>
  <si>
    <t>10 CAP</t>
  </si>
  <si>
    <t>HERBOLAX TAB</t>
  </si>
  <si>
    <t>100TAB</t>
  </si>
  <si>
    <t>LIV-52 HB CAP</t>
  </si>
  <si>
    <t>LIV-52 SYP 100 ML</t>
  </si>
  <si>
    <t>100 ML</t>
  </si>
  <si>
    <t>LIV-52 SYP-200 ML</t>
  </si>
  <si>
    <t>200 ML</t>
  </si>
  <si>
    <t>LIV-52 TAB</t>
  </si>
  <si>
    <t>OPHTHACARE-EYE</t>
  </si>
  <si>
    <t>10 ML</t>
  </si>
  <si>
    <t>ORO-T RINSE (100ML)</t>
  </si>
  <si>
    <t>PILEX FORTE</t>
  </si>
  <si>
    <t>30TAB</t>
  </si>
  <si>
    <t>PILEX FORTE OINT</t>
  </si>
  <si>
    <t>PILEX TAB</t>
  </si>
  <si>
    <t>60 TAB</t>
  </si>
  <si>
    <t>TENTEX FORTE</t>
  </si>
  <si>
    <t>10 TAB</t>
  </si>
  <si>
    <t/>
  </si>
  <si>
    <t>MR.Balance:        0.00</t>
  </si>
  <si>
    <t>OPENING :  106888.02</t>
  </si>
  <si>
    <t>PURCHASE :   74270.47</t>
  </si>
  <si>
    <t>SALES :   94516.92</t>
  </si>
  <si>
    <t>CL.STK.:   98513.46</t>
  </si>
  <si>
    <t>Opening On SaleRate:  120574.2</t>
  </si>
  <si>
    <t>Purchase On SaleRate:   83780.</t>
  </si>
  <si>
    <t>Closing On SaleRate:  111127.2</t>
  </si>
  <si>
    <t xml:space="preserve">NAVJEEVAN MEDICAL &amp; GEN. STORES         </t>
  </si>
  <si>
    <t>AT POST-KEDGAON,RLY.STATION,TAL-DAUND,   From : 01/09/26</t>
  </si>
  <si>
    <t>DIST-PUNE                                To : 30/09/26</t>
  </si>
  <si>
    <t>MOB-9890594955,9011936655               Report Date : 30-Sep-2026</t>
  </si>
  <si>
    <t>STOCK &amp; SALE STATEMENT</t>
  </si>
  <si>
    <t>Company Name : HIMALAYA DRUG-ZEAL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</si>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</sst>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abSelected="1" workbookViewId="0">
      <pane ySplit="7" topLeftCell="A8" activePane="bottomLeft" state="frozen"/>
      <selection pane="bottomLeft" activeCell="A8" sqref="A8:T8"/>
    </sheetView>
  </sheetViews>
  <sheetFormatPr defaultRowHeight="15" x14ac:dyDescent="0.25"/>
  <cols>
    <col min="1" max="1" width="30.7109375" bestFit="1" customWidth="1"/>
    <col min="2" max="2" width="7.42578125" bestFit="1" customWidth="1"/>
    <col min="3" max="3" width="9.7109375" bestFit="1" customWidth="1"/>
    <col min="4" max="4" width="8.42578125" bestFit="1" customWidth="1"/>
    <col min="5" max="5" width="9.28515625" bestFit="1" customWidth="1"/>
    <col min="6" max="6" width="8" bestFit="1" customWidth="1"/>
    <col min="7" max="7" width="8.85546875" bestFit="1" customWidth="1"/>
    <col min="8" max="8" width="7.42578125" bestFit="1" customWidth="1"/>
    <col min="9" max="9" width="7.28515625" bestFit="1" customWidth="1"/>
    <col min="10" max="10" width="8.140625" bestFit="1" customWidth="1"/>
    <col min="11" max="11" width="7.140625" bestFit="1" customWidth="1"/>
    <col min="12" max="12" width="10.140625" bestFit="1" customWidth="1"/>
    <col min="13" max="13" width="10" bestFit="1" customWidth="1"/>
    <col min="14" max="14" width="9" bestFit="1" customWidth="1"/>
    <col min="15" max="15" width="9.140625" bestFit="1" customWidth="1"/>
    <col min="16" max="16" width="9" bestFit="1" customWidth="1"/>
    <col min="17" max="17" width="10.140625" bestFit="1" customWidth="1"/>
    <col min="18" max="18" width="8.28515625" bestFit="1" customWidth="1"/>
    <col min="19" max="19" width="10.28515625" bestFit="1" customWidth="1"/>
    <col min="20" max="20" width="12.42578125" bestFit="1" customWidth="1"/>
  </cols>
  <sheetData>
    <row r="1" spans="1:20" x14ac:dyDescent="0.25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3" t="s">
        <v>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 t="s">
        <v>42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UPPER("dbstk")</f>
        <v>DBSTK</v>
      </c>
      <c r="L7" s="1" t="str">
        <f>UPPER("closestk")</f>
        <v>CLOSESTK</v>
      </c>
      <c r="M7" s="1" t="str">
        <f>UPPER("openval")</f>
        <v>OPENVAL</v>
      </c>
      <c r="N7" s="1" t="str">
        <f>UPPER("purval")</f>
        <v>PURVAL</v>
      </c>
      <c r="O7" s="1" t="str">
        <f>UPPER("saleval")</f>
        <v>SALEVAL</v>
      </c>
      <c r="P7" s="1" t="str">
        <f>UPPER("clsval")</f>
        <v>CLSVAL</v>
      </c>
      <c r="Q7" s="1" t="str">
        <f>UPPER("hsncode")</f>
        <v>HSNCODE</v>
      </c>
      <c r="R7" s="1" t="str">
        <f>UPPER("taxper")</f>
        <v>TAXPER</v>
      </c>
      <c r="S7" s="1" t="str">
        <f>UPPER("slgstval")</f>
        <v>SLGSTVAL</v>
      </c>
      <c r="T7" s="1" t="str">
        <f>UPPER("scmgstval")</f>
        <v>SCMGSTVAL</v>
      </c>
    </row>
    <row r="8" spans="1:20" x14ac:dyDescent="0.25">
      <c r="A8" t="s">
        <v>0</v>
      </c>
      <c r="B8" t="s">
        <v>1</v>
      </c>
      <c r="C8">
        <v>13</v>
      </c>
      <c r="D8">
        <v>0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  <c r="K8">
        <v>0</v>
      </c>
      <c r="L8">
        <v>9</v>
      </c>
      <c r="M8">
        <v>2256.54</v>
      </c>
      <c r="N8">
        <v>0</v>
      </c>
      <c r="O8">
        <v>783.2</v>
      </c>
      <c r="P8">
        <v>1562.22</v>
      </c>
      <c r="Q8" t="s">
        <v>2</v>
      </c>
      <c r="R8">
        <v>5</v>
      </c>
      <c r="S8">
        <v>822.36</v>
      </c>
      <c r="T8">
        <v>0</v>
      </c>
    </row>
    <row r="9" spans="1:20" x14ac:dyDescent="0.25">
      <c r="A9" t="s">
        <v>3</v>
      </c>
      <c r="B9" t="s">
        <v>4</v>
      </c>
      <c r="C9">
        <v>50</v>
      </c>
      <c r="D9">
        <v>0</v>
      </c>
      <c r="E9">
        <v>0</v>
      </c>
      <c r="F9">
        <v>0</v>
      </c>
      <c r="G9">
        <v>7</v>
      </c>
      <c r="H9">
        <v>0</v>
      </c>
      <c r="I9">
        <v>0</v>
      </c>
      <c r="J9">
        <v>0</v>
      </c>
      <c r="K9">
        <v>0</v>
      </c>
      <c r="L9">
        <v>43</v>
      </c>
      <c r="M9">
        <v>6484</v>
      </c>
      <c r="N9">
        <v>0</v>
      </c>
      <c r="O9">
        <v>1023.96</v>
      </c>
      <c r="P9">
        <v>5576.24</v>
      </c>
      <c r="Q9" t="s">
        <v>5</v>
      </c>
      <c r="R9">
        <v>5</v>
      </c>
      <c r="S9">
        <v>1075.1600000000001</v>
      </c>
      <c r="T9">
        <v>0</v>
      </c>
    </row>
    <row r="10" spans="1:20" x14ac:dyDescent="0.25">
      <c r="A10" t="s">
        <v>6</v>
      </c>
      <c r="B10" t="s">
        <v>7</v>
      </c>
      <c r="C10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19</v>
      </c>
      <c r="M10">
        <v>5024.3599999999997</v>
      </c>
      <c r="N10">
        <v>0</v>
      </c>
      <c r="O10">
        <v>0</v>
      </c>
      <c r="P10">
        <v>5024.3599999999997</v>
      </c>
      <c r="Q10" t="s">
        <v>5</v>
      </c>
      <c r="R10">
        <v>18</v>
      </c>
      <c r="S10">
        <v>0</v>
      </c>
      <c r="T10">
        <v>0</v>
      </c>
    </row>
    <row r="11" spans="1:20" x14ac:dyDescent="0.25">
      <c r="A11" t="s">
        <v>8</v>
      </c>
      <c r="B11" t="s">
        <v>9</v>
      </c>
      <c r="C11">
        <v>80</v>
      </c>
      <c r="D11">
        <v>0</v>
      </c>
      <c r="E11">
        <v>0</v>
      </c>
      <c r="F11">
        <v>0</v>
      </c>
      <c r="G11">
        <v>33</v>
      </c>
      <c r="H11">
        <v>0</v>
      </c>
      <c r="I11">
        <v>0</v>
      </c>
      <c r="J11">
        <v>0</v>
      </c>
      <c r="K11">
        <v>0</v>
      </c>
      <c r="L11">
        <v>47</v>
      </c>
      <c r="M11">
        <v>4539.2</v>
      </c>
      <c r="N11">
        <v>0</v>
      </c>
      <c r="O11">
        <v>2112</v>
      </c>
      <c r="P11">
        <v>2666.78</v>
      </c>
      <c r="Q11" t="s">
        <v>5</v>
      </c>
      <c r="R11">
        <v>5</v>
      </c>
      <c r="S11">
        <v>2217.6</v>
      </c>
      <c r="T11">
        <v>0</v>
      </c>
    </row>
    <row r="12" spans="1:20" x14ac:dyDescent="0.25">
      <c r="A12" t="s">
        <v>10</v>
      </c>
      <c r="B12" t="s">
        <v>11</v>
      </c>
      <c r="C12">
        <v>9</v>
      </c>
      <c r="D12">
        <v>50</v>
      </c>
      <c r="E12">
        <v>0</v>
      </c>
      <c r="F12">
        <v>0</v>
      </c>
      <c r="G12">
        <v>19</v>
      </c>
      <c r="H12">
        <v>0</v>
      </c>
      <c r="I12">
        <v>0</v>
      </c>
      <c r="J12">
        <v>0</v>
      </c>
      <c r="K12">
        <v>0</v>
      </c>
      <c r="L12">
        <v>40</v>
      </c>
      <c r="M12">
        <v>1337.4</v>
      </c>
      <c r="N12">
        <v>7430</v>
      </c>
      <c r="O12">
        <v>3184.78</v>
      </c>
      <c r="P12">
        <v>5944</v>
      </c>
      <c r="Q12" t="s">
        <v>5</v>
      </c>
      <c r="R12">
        <v>5</v>
      </c>
      <c r="S12">
        <v>3344.02</v>
      </c>
      <c r="T12">
        <v>0</v>
      </c>
    </row>
    <row r="13" spans="1:20" x14ac:dyDescent="0.25">
      <c r="A13" t="s">
        <v>12</v>
      </c>
      <c r="B13" t="s">
        <v>9</v>
      </c>
      <c r="C13">
        <v>42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42</v>
      </c>
      <c r="M13">
        <v>6382.32</v>
      </c>
      <c r="N13">
        <v>0</v>
      </c>
      <c r="O13">
        <v>0</v>
      </c>
      <c r="P13">
        <v>6382.32</v>
      </c>
      <c r="Q13" t="s">
        <v>5</v>
      </c>
      <c r="R13">
        <v>5</v>
      </c>
      <c r="S13">
        <v>0</v>
      </c>
      <c r="T13">
        <v>0</v>
      </c>
    </row>
    <row r="14" spans="1:20" x14ac:dyDescent="0.25">
      <c r="A14" t="s">
        <v>13</v>
      </c>
      <c r="B14" t="s">
        <v>14</v>
      </c>
      <c r="C14">
        <v>307</v>
      </c>
      <c r="D14">
        <v>210</v>
      </c>
      <c r="E14">
        <v>0</v>
      </c>
      <c r="F14">
        <v>0</v>
      </c>
      <c r="G14">
        <v>407</v>
      </c>
      <c r="H14">
        <v>0</v>
      </c>
      <c r="I14">
        <v>0</v>
      </c>
      <c r="J14">
        <v>0</v>
      </c>
      <c r="K14">
        <v>0</v>
      </c>
      <c r="L14">
        <v>110</v>
      </c>
      <c r="M14">
        <v>29026.85</v>
      </c>
      <c r="N14">
        <v>19855.5</v>
      </c>
      <c r="O14">
        <v>43410.62</v>
      </c>
      <c r="P14">
        <v>10400.5</v>
      </c>
      <c r="Q14" t="s">
        <v>5</v>
      </c>
      <c r="R14">
        <v>5</v>
      </c>
      <c r="S14">
        <v>45581.15</v>
      </c>
      <c r="T14">
        <v>0</v>
      </c>
    </row>
    <row r="15" spans="1:20" x14ac:dyDescent="0.25">
      <c r="A15" t="s">
        <v>15</v>
      </c>
      <c r="B15" t="s">
        <v>16</v>
      </c>
      <c r="C15">
        <v>35</v>
      </c>
      <c r="D15">
        <v>35</v>
      </c>
      <c r="E15">
        <v>0</v>
      </c>
      <c r="F15">
        <v>0</v>
      </c>
      <c r="G15">
        <v>47</v>
      </c>
      <c r="H15">
        <v>0</v>
      </c>
      <c r="I15">
        <v>0</v>
      </c>
      <c r="J15">
        <v>0</v>
      </c>
      <c r="K15">
        <v>0</v>
      </c>
      <c r="L15">
        <v>23</v>
      </c>
      <c r="M15">
        <v>5531.75</v>
      </c>
      <c r="N15">
        <v>5531.75</v>
      </c>
      <c r="O15">
        <v>8379.16</v>
      </c>
      <c r="P15">
        <v>3635.15</v>
      </c>
      <c r="Q15" t="s">
        <v>5</v>
      </c>
      <c r="R15">
        <v>5</v>
      </c>
      <c r="S15">
        <v>8798.1200000000008</v>
      </c>
      <c r="T15">
        <v>0</v>
      </c>
    </row>
    <row r="16" spans="1:20" x14ac:dyDescent="0.25">
      <c r="A16" t="s">
        <v>17</v>
      </c>
      <c r="B16" t="s">
        <v>11</v>
      </c>
      <c r="C16">
        <v>135</v>
      </c>
      <c r="D16">
        <v>0</v>
      </c>
      <c r="E16">
        <v>0</v>
      </c>
      <c r="F16">
        <v>0</v>
      </c>
      <c r="G16">
        <v>53</v>
      </c>
      <c r="H16">
        <v>0</v>
      </c>
      <c r="I16">
        <v>0</v>
      </c>
      <c r="J16">
        <v>0</v>
      </c>
      <c r="K16">
        <v>0</v>
      </c>
      <c r="L16">
        <v>82</v>
      </c>
      <c r="M16">
        <v>20061</v>
      </c>
      <c r="N16">
        <v>0</v>
      </c>
      <c r="O16">
        <v>8883.86</v>
      </c>
      <c r="P16">
        <v>12185.2</v>
      </c>
      <c r="Q16" t="s">
        <v>5</v>
      </c>
      <c r="R16">
        <v>5</v>
      </c>
      <c r="S16">
        <v>9328.0499999999993</v>
      </c>
      <c r="T16">
        <v>0</v>
      </c>
    </row>
    <row r="17" spans="1:20" x14ac:dyDescent="0.25">
      <c r="A17" t="s">
        <v>18</v>
      </c>
      <c r="B17" t="s">
        <v>19</v>
      </c>
      <c r="C17">
        <v>48</v>
      </c>
      <c r="D17">
        <v>66</v>
      </c>
      <c r="E17">
        <v>6</v>
      </c>
      <c r="F17">
        <v>0</v>
      </c>
      <c r="G17">
        <v>33</v>
      </c>
      <c r="H17">
        <v>2</v>
      </c>
      <c r="I17">
        <v>0</v>
      </c>
      <c r="J17">
        <v>0</v>
      </c>
      <c r="K17">
        <v>0</v>
      </c>
      <c r="L17">
        <v>85</v>
      </c>
      <c r="M17">
        <v>3339.36</v>
      </c>
      <c r="N17">
        <v>4591.62</v>
      </c>
      <c r="O17">
        <v>2589.84</v>
      </c>
      <c r="P17">
        <v>5913.45</v>
      </c>
      <c r="Q17" t="s">
        <v>5</v>
      </c>
      <c r="R17">
        <v>5</v>
      </c>
      <c r="S17">
        <v>2719.33</v>
      </c>
      <c r="T17">
        <v>164.81</v>
      </c>
    </row>
    <row r="18" spans="1:20" x14ac:dyDescent="0.25">
      <c r="A18" t="s">
        <v>20</v>
      </c>
      <c r="B18" t="s">
        <v>14</v>
      </c>
      <c r="C18">
        <v>0</v>
      </c>
      <c r="D18">
        <v>50</v>
      </c>
      <c r="E18">
        <v>0</v>
      </c>
      <c r="F18">
        <v>0</v>
      </c>
      <c r="G18">
        <v>44</v>
      </c>
      <c r="H18">
        <v>0</v>
      </c>
      <c r="I18">
        <v>0</v>
      </c>
      <c r="J18">
        <v>0</v>
      </c>
      <c r="K18">
        <v>0</v>
      </c>
      <c r="L18">
        <v>6</v>
      </c>
      <c r="M18">
        <v>0</v>
      </c>
      <c r="N18">
        <v>5673.5</v>
      </c>
      <c r="O18">
        <v>5632</v>
      </c>
      <c r="P18">
        <v>680.82</v>
      </c>
      <c r="Q18" t="s">
        <v>5</v>
      </c>
      <c r="R18">
        <v>5</v>
      </c>
      <c r="S18">
        <v>5913.6</v>
      </c>
      <c r="T18">
        <v>0</v>
      </c>
    </row>
    <row r="19" spans="1:20" x14ac:dyDescent="0.25">
      <c r="A19" t="s">
        <v>21</v>
      </c>
      <c r="B19" t="s">
        <v>22</v>
      </c>
      <c r="C19">
        <v>10</v>
      </c>
      <c r="D19">
        <v>53</v>
      </c>
      <c r="E19">
        <v>3</v>
      </c>
      <c r="F19">
        <v>0</v>
      </c>
      <c r="G19">
        <v>13</v>
      </c>
      <c r="H19">
        <v>0</v>
      </c>
      <c r="I19">
        <v>0</v>
      </c>
      <c r="J19">
        <v>0</v>
      </c>
      <c r="K19">
        <v>0</v>
      </c>
      <c r="L19">
        <v>53</v>
      </c>
      <c r="M19">
        <v>1040.2</v>
      </c>
      <c r="N19">
        <v>5513.06</v>
      </c>
      <c r="O19">
        <v>1525.42</v>
      </c>
      <c r="P19">
        <v>5513.06</v>
      </c>
      <c r="Q19" t="s">
        <v>5</v>
      </c>
      <c r="R19">
        <v>5</v>
      </c>
      <c r="S19">
        <v>1601.69</v>
      </c>
      <c r="T19">
        <v>0</v>
      </c>
    </row>
    <row r="20" spans="1:20" x14ac:dyDescent="0.25">
      <c r="A20" t="s">
        <v>23</v>
      </c>
      <c r="B20" t="s">
        <v>4</v>
      </c>
      <c r="C20">
        <v>0</v>
      </c>
      <c r="D20">
        <v>95</v>
      </c>
      <c r="E20">
        <v>5</v>
      </c>
      <c r="F20">
        <v>0</v>
      </c>
      <c r="G20">
        <v>42</v>
      </c>
      <c r="H20">
        <v>1</v>
      </c>
      <c r="I20">
        <v>0</v>
      </c>
      <c r="J20">
        <v>0</v>
      </c>
      <c r="K20">
        <v>0</v>
      </c>
      <c r="L20">
        <v>57</v>
      </c>
      <c r="M20">
        <v>0</v>
      </c>
      <c r="N20">
        <v>9624.4500000000007</v>
      </c>
      <c r="O20">
        <v>4799.76</v>
      </c>
      <c r="P20">
        <v>5774.67</v>
      </c>
      <c r="Q20" t="s">
        <v>5</v>
      </c>
      <c r="R20">
        <v>5</v>
      </c>
      <c r="S20">
        <v>5039.75</v>
      </c>
      <c r="T20">
        <v>119.99</v>
      </c>
    </row>
    <row r="21" spans="1:20" x14ac:dyDescent="0.25">
      <c r="A21" t="s">
        <v>24</v>
      </c>
      <c r="B21" t="s">
        <v>25</v>
      </c>
      <c r="C21">
        <v>47</v>
      </c>
      <c r="D21">
        <v>97</v>
      </c>
      <c r="E21">
        <v>3</v>
      </c>
      <c r="F21">
        <v>0</v>
      </c>
      <c r="G21">
        <v>60</v>
      </c>
      <c r="H21">
        <v>0</v>
      </c>
      <c r="I21">
        <v>0</v>
      </c>
      <c r="J21">
        <v>0</v>
      </c>
      <c r="K21">
        <v>0</v>
      </c>
      <c r="L21">
        <v>87</v>
      </c>
      <c r="M21">
        <v>7777.09</v>
      </c>
      <c r="N21">
        <v>16050.59</v>
      </c>
      <c r="O21">
        <v>10805.74</v>
      </c>
      <c r="P21">
        <v>14395.89</v>
      </c>
      <c r="Q21" t="s">
        <v>5</v>
      </c>
      <c r="R21">
        <v>5</v>
      </c>
      <c r="S21">
        <v>11759.58</v>
      </c>
      <c r="T21">
        <v>0</v>
      </c>
    </row>
    <row r="22" spans="1:20" x14ac:dyDescent="0.25">
      <c r="A22" t="s">
        <v>26</v>
      </c>
      <c r="B22" t="s">
        <v>27</v>
      </c>
      <c r="C22">
        <v>149</v>
      </c>
      <c r="D22">
        <v>0</v>
      </c>
      <c r="E22">
        <v>0</v>
      </c>
      <c r="F22">
        <v>0</v>
      </c>
      <c r="G22">
        <v>13</v>
      </c>
      <c r="H22">
        <v>0</v>
      </c>
      <c r="I22">
        <v>0</v>
      </c>
      <c r="J22">
        <v>0</v>
      </c>
      <c r="K22">
        <v>0</v>
      </c>
      <c r="L22">
        <v>136</v>
      </c>
      <c r="M22">
        <v>14087.95</v>
      </c>
      <c r="N22">
        <v>0</v>
      </c>
      <c r="O22">
        <v>1386.58</v>
      </c>
      <c r="P22">
        <v>12858.8</v>
      </c>
      <c r="Q22" t="s">
        <v>5</v>
      </c>
      <c r="R22">
        <v>5</v>
      </c>
      <c r="S22">
        <v>1455.91</v>
      </c>
      <c r="T22">
        <v>0</v>
      </c>
    </row>
    <row r="23" spans="1:20" x14ac:dyDescent="0.25">
      <c r="A23" t="s">
        <v>28</v>
      </c>
      <c r="B23" t="s">
        <v>28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28</v>
      </c>
      <c r="R23">
        <v>0</v>
      </c>
      <c r="S23">
        <v>0</v>
      </c>
      <c r="T23">
        <v>0</v>
      </c>
    </row>
    <row r="24" spans="1:20" x14ac:dyDescent="0.25">
      <c r="A24" t="s">
        <v>28</v>
      </c>
      <c r="B24" t="s">
        <v>28</v>
      </c>
      <c r="C24">
        <v>944</v>
      </c>
      <c r="D24">
        <v>656</v>
      </c>
      <c r="E24">
        <v>0</v>
      </c>
      <c r="F24">
        <v>0</v>
      </c>
      <c r="G24">
        <v>775</v>
      </c>
      <c r="H24">
        <v>0</v>
      </c>
      <c r="I24">
        <v>0</v>
      </c>
      <c r="J24">
        <v>0</v>
      </c>
      <c r="K24">
        <v>0</v>
      </c>
      <c r="L24">
        <v>839</v>
      </c>
      <c r="M24">
        <v>106888.02</v>
      </c>
      <c r="N24">
        <v>74270.47</v>
      </c>
      <c r="O24">
        <v>94516.92</v>
      </c>
      <c r="P24">
        <v>98513.46</v>
      </c>
      <c r="Q24" t="s">
        <v>28</v>
      </c>
      <c r="R24">
        <v>0</v>
      </c>
      <c r="S24">
        <v>0</v>
      </c>
      <c r="T24">
        <v>0</v>
      </c>
    </row>
    <row r="25" spans="1:20" x14ac:dyDescent="0.25">
      <c r="A25" t="s">
        <v>29</v>
      </c>
      <c r="B25" t="s">
        <v>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28</v>
      </c>
      <c r="R25">
        <v>0</v>
      </c>
      <c r="S25">
        <v>0</v>
      </c>
      <c r="T25">
        <v>0</v>
      </c>
    </row>
    <row r="26" spans="1:20" x14ac:dyDescent="0.25">
      <c r="A26" t="s">
        <v>28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28</v>
      </c>
      <c r="R26">
        <v>0</v>
      </c>
      <c r="S26">
        <v>0</v>
      </c>
      <c r="T26">
        <v>0</v>
      </c>
    </row>
    <row r="27" spans="1:20" x14ac:dyDescent="0.25">
      <c r="A27" t="s">
        <v>30</v>
      </c>
      <c r="B27" t="s">
        <v>28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28</v>
      </c>
      <c r="R27">
        <v>0</v>
      </c>
      <c r="S27">
        <v>0</v>
      </c>
      <c r="T27">
        <v>0</v>
      </c>
    </row>
    <row r="28" spans="1:20" x14ac:dyDescent="0.25">
      <c r="A28" t="s">
        <v>31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28</v>
      </c>
      <c r="R28">
        <v>0</v>
      </c>
      <c r="S28">
        <v>0</v>
      </c>
      <c r="T28">
        <v>0</v>
      </c>
    </row>
    <row r="29" spans="1:20" x14ac:dyDescent="0.25">
      <c r="A29" t="s">
        <v>32</v>
      </c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28</v>
      </c>
      <c r="R29">
        <v>0</v>
      </c>
      <c r="S29">
        <v>0</v>
      </c>
      <c r="T29">
        <v>0</v>
      </c>
    </row>
    <row r="30" spans="1:20" x14ac:dyDescent="0.25">
      <c r="A30" t="s">
        <v>33</v>
      </c>
      <c r="B30" t="s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28</v>
      </c>
      <c r="R30">
        <v>0</v>
      </c>
      <c r="S30">
        <v>0</v>
      </c>
      <c r="T30">
        <v>0</v>
      </c>
    </row>
    <row r="31" spans="1:20" x14ac:dyDescent="0.25">
      <c r="A31" t="s">
        <v>34</v>
      </c>
      <c r="B31" t="s">
        <v>28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28</v>
      </c>
      <c r="R31">
        <v>0</v>
      </c>
      <c r="S31">
        <v>0</v>
      </c>
      <c r="T31">
        <v>0</v>
      </c>
    </row>
    <row r="32" spans="1:20" x14ac:dyDescent="0.25">
      <c r="A32" t="s">
        <v>35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28</v>
      </c>
      <c r="R32">
        <v>0</v>
      </c>
      <c r="S32">
        <v>0</v>
      </c>
      <c r="T32">
        <v>0</v>
      </c>
    </row>
    <row r="33" spans="1:20" x14ac:dyDescent="0.25">
      <c r="A33" t="s">
        <v>36</v>
      </c>
      <c r="B33" t="s">
        <v>28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28</v>
      </c>
      <c r="R33">
        <v>0</v>
      </c>
      <c r="S33">
        <v>0</v>
      </c>
      <c r="T33">
        <v>0</v>
      </c>
    </row>
    <row r="34" spans="1:20" x14ac:dyDescent="0.25">
      <c r="A34" t="s">
        <v>28</v>
      </c>
      <c r="B34" t="s">
        <v>28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28</v>
      </c>
      <c r="R34">
        <v>0</v>
      </c>
      <c r="S34">
        <v>0</v>
      </c>
      <c r="T34">
        <v>0</v>
      </c>
    </row>
    <row r="52" spans="1:9" x14ac:dyDescent="0.25">
      <c r="A52" s="2" t="s">
        <v>43</v>
      </c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1" t="s">
        <v>44</v>
      </c>
      <c r="B54" s="1" t="s">
        <v>45</v>
      </c>
      <c r="C54" s="1" t="s">
        <v>46</v>
      </c>
      <c r="D54" s="1" t="s">
        <v>47</v>
      </c>
      <c r="E54" s="1" t="s">
        <v>48</v>
      </c>
      <c r="F54" s="1" t="s">
        <v>49</v>
      </c>
      <c r="G54" s="1" t="s">
        <v>50</v>
      </c>
      <c r="H54" s="1" t="s">
        <v>51</v>
      </c>
      <c r="I54" s="1" t="s">
        <v>52</v>
      </c>
    </row>
    <row r="57" spans="1:9" x14ac:dyDescent="0.25">
      <c r="G57" t="s">
        <v>53</v>
      </c>
      <c r="I57">
        <v>0</v>
      </c>
    </row>
  </sheetData>
  <mergeCells count="8">
    <mergeCell ref="A6:T6"/>
    <mergeCell ref="A52:I52"/>
    <mergeCell ref="A53:I53"/>
    <mergeCell ref="A1:T1"/>
    <mergeCell ref="A2:T2"/>
    <mergeCell ref="A3:T3"/>
    <mergeCell ref="A4:T4"/>
    <mergeCell ref="A5:T5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XLS2045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rohankunjir@outlook.com</cp:lastModifiedBy>
  <dcterms:created xsi:type="dcterms:W3CDTF">2026-09-30T12:43:24Z</dcterms:created>
  <dcterms:modified xsi:type="dcterms:W3CDTF">2026-09-30T12:43:25Z</dcterms:modified>
</cp:coreProperties>
</file>