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khar\Desktop\"/>
    </mc:Choice>
  </mc:AlternateContent>
  <bookViews>
    <workbookView xWindow="0" yWindow="0" windowWidth="15360" windowHeight="9675"/>
  </bookViews>
  <sheets>
    <sheet name="Stock and Sale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4" i="1" l="1"/>
  <c r="I224" i="1"/>
  <c r="H224" i="1"/>
  <c r="J221" i="1"/>
  <c r="I221" i="1"/>
  <c r="H221" i="1"/>
  <c r="J218" i="1"/>
  <c r="I218" i="1"/>
  <c r="H218" i="1"/>
  <c r="J215" i="1"/>
  <c r="I215" i="1"/>
  <c r="H215" i="1"/>
  <c r="J211" i="1"/>
  <c r="I211" i="1"/>
  <c r="H211" i="1"/>
  <c r="J192" i="1"/>
  <c r="I192" i="1"/>
  <c r="H192" i="1"/>
  <c r="J167" i="1"/>
  <c r="I167" i="1"/>
  <c r="H167" i="1"/>
  <c r="J163" i="1"/>
  <c r="I163" i="1"/>
  <c r="H163" i="1"/>
  <c r="J159" i="1"/>
  <c r="I159" i="1"/>
  <c r="H159" i="1"/>
  <c r="J155" i="1"/>
  <c r="I155" i="1"/>
  <c r="H155" i="1"/>
  <c r="J152" i="1"/>
  <c r="I152" i="1"/>
  <c r="H152" i="1"/>
  <c r="J147" i="1"/>
  <c r="I147" i="1"/>
  <c r="H147" i="1"/>
  <c r="J143" i="1"/>
  <c r="I143" i="1"/>
  <c r="H143" i="1"/>
  <c r="J140" i="1"/>
  <c r="I140" i="1"/>
  <c r="H140" i="1"/>
  <c r="J136" i="1"/>
  <c r="I136" i="1"/>
  <c r="H136" i="1"/>
  <c r="J133" i="1"/>
  <c r="I133" i="1"/>
  <c r="H133" i="1"/>
  <c r="J130" i="1"/>
  <c r="I130" i="1"/>
  <c r="H130" i="1"/>
  <c r="J125" i="1"/>
  <c r="I125" i="1"/>
  <c r="H125" i="1"/>
  <c r="J116" i="1"/>
  <c r="I116" i="1"/>
  <c r="H116" i="1"/>
  <c r="J111" i="1"/>
  <c r="I111" i="1"/>
  <c r="H111" i="1"/>
  <c r="J108" i="1"/>
  <c r="I108" i="1"/>
  <c r="H108" i="1"/>
  <c r="J104" i="1"/>
  <c r="I104" i="1"/>
  <c r="H104" i="1"/>
  <c r="J101" i="1"/>
  <c r="I101" i="1"/>
  <c r="H101" i="1"/>
  <c r="J98" i="1"/>
  <c r="I98" i="1"/>
  <c r="H98" i="1"/>
  <c r="J95" i="1"/>
  <c r="I95" i="1"/>
  <c r="H95" i="1"/>
  <c r="J91" i="1"/>
  <c r="I91" i="1"/>
  <c r="H91" i="1"/>
  <c r="J88" i="1"/>
  <c r="I88" i="1"/>
  <c r="H88" i="1"/>
  <c r="J83" i="1"/>
  <c r="I83" i="1"/>
  <c r="H83" i="1"/>
  <c r="J80" i="1"/>
  <c r="I80" i="1"/>
  <c r="H80" i="1"/>
  <c r="J77" i="1"/>
  <c r="I77" i="1"/>
  <c r="H77" i="1"/>
  <c r="J70" i="1"/>
  <c r="I70" i="1"/>
  <c r="H70" i="1"/>
  <c r="J65" i="1"/>
  <c r="I65" i="1"/>
  <c r="H65" i="1"/>
  <c r="J60" i="1"/>
  <c r="I60" i="1"/>
  <c r="H60" i="1"/>
  <c r="J57" i="1"/>
  <c r="I57" i="1"/>
  <c r="H57" i="1"/>
  <c r="J44" i="1"/>
  <c r="I44" i="1"/>
  <c r="H44" i="1"/>
  <c r="J40" i="1"/>
  <c r="I40" i="1"/>
  <c r="H40" i="1"/>
  <c r="J34" i="1"/>
  <c r="I34" i="1"/>
  <c r="H34" i="1"/>
  <c r="J29" i="1"/>
  <c r="I29" i="1"/>
  <c r="H29" i="1"/>
</calcChain>
</file>

<file path=xl/sharedStrings.xml><?xml version="1.0" encoding="utf-8"?>
<sst xmlns="http://schemas.openxmlformats.org/spreadsheetml/2006/main" count="525" uniqueCount="403">
  <si>
    <t>-</t>
  </si>
  <si>
    <t>7758</t>
  </si>
  <si>
    <t>CONFIDO TAB</t>
  </si>
  <si>
    <t>60TAB</t>
  </si>
  <si>
    <t>264</t>
  </si>
  <si>
    <t>HIMA ARJUNA TAB</t>
  </si>
  <si>
    <t>412</t>
  </si>
  <si>
    <t>HIMA ASHWAGANDHA TAB</t>
  </si>
  <si>
    <t>5118</t>
  </si>
  <si>
    <t>HIMA AYURSLIM CAP</t>
  </si>
  <si>
    <t>60CAP</t>
  </si>
  <si>
    <t>64236</t>
  </si>
  <si>
    <t>HIMA AYURSLIM CAP SAVER PACK(3PCS)</t>
  </si>
  <si>
    <t>3PCS</t>
  </si>
  <si>
    <t>4403</t>
  </si>
  <si>
    <t>HIMA BRAHMI TAB</t>
  </si>
  <si>
    <t>82593</t>
  </si>
  <si>
    <t>HIMA EVECARE FORTE SYP</t>
  </si>
  <si>
    <t>200ML</t>
  </si>
  <si>
    <t>12756</t>
  </si>
  <si>
    <t>HIMA GOKSHURA TAB</t>
  </si>
  <si>
    <t>10825</t>
  </si>
  <si>
    <t>HIMA GUDUCHI TAB</t>
  </si>
  <si>
    <t>3066</t>
  </si>
  <si>
    <t>HIMA HARIDRA TAB</t>
  </si>
  <si>
    <t>15478</t>
  </si>
  <si>
    <t>HIMA KAPIKACHHU CAP</t>
  </si>
  <si>
    <t>15505</t>
  </si>
  <si>
    <t>HIMA KARELA TAB</t>
  </si>
  <si>
    <t>15336</t>
  </si>
  <si>
    <t>HIMA LASUNA CAP.</t>
  </si>
  <si>
    <t>17713</t>
  </si>
  <si>
    <t>HIMA MANJISHTA TAB</t>
  </si>
  <si>
    <t>16598</t>
  </si>
  <si>
    <t>HIMA NEEM TAB</t>
  </si>
  <si>
    <t>25671</t>
  </si>
  <si>
    <t>HIMA SHIGRU TAB</t>
  </si>
  <si>
    <t>25712</t>
  </si>
  <si>
    <t>HIMA SHUDDHA GUGGULU TAB</t>
  </si>
  <si>
    <t>24645</t>
  </si>
  <si>
    <t>HIMA TAGARA TAB</t>
  </si>
  <si>
    <t>27225</t>
  </si>
  <si>
    <t>HIMA TULASI TAB</t>
  </si>
  <si>
    <t>29159</t>
  </si>
  <si>
    <t>HIMA VRIKSHAMLA TAB</t>
  </si>
  <si>
    <t>15903</t>
  </si>
  <si>
    <t>LUKOL TAB</t>
  </si>
  <si>
    <t>24981</t>
  </si>
  <si>
    <t>SEPTILIN TAB</t>
  </si>
  <si>
    <t>Total Value (-)</t>
  </si>
  <si>
    <t>ANTIOXIDANTS</t>
  </si>
  <si>
    <t>12316</t>
  </si>
  <si>
    <t>GERIFORTE TAB</t>
  </si>
  <si>
    <t>100TAB</t>
  </si>
  <si>
    <t>2095</t>
  </si>
  <si>
    <t>HIMA AMALAKI TAB</t>
  </si>
  <si>
    <t>66983</t>
  </si>
  <si>
    <t>IMMUSANTE TAB</t>
  </si>
  <si>
    <t>20TAB</t>
  </si>
  <si>
    <t>Total Value (ANTIOXIDANTS)</t>
  </si>
  <si>
    <t>BONES &amp; JOINTS</t>
  </si>
  <si>
    <t>40168</t>
  </si>
  <si>
    <t>HIMA HADJOD TAB</t>
  </si>
  <si>
    <t>27971</t>
  </si>
  <si>
    <t>HIMA SHALLAKI TAB</t>
  </si>
  <si>
    <t>21926</t>
  </si>
  <si>
    <t>RUMALAYA FORTE TAB</t>
  </si>
  <si>
    <t>30TAB</t>
  </si>
  <si>
    <t>21929</t>
  </si>
  <si>
    <t>RUMALAYA TAB</t>
  </si>
  <si>
    <t>Total Value (BONES &amp; JOINTS)</t>
  </si>
  <si>
    <t>BRAIN</t>
  </si>
  <si>
    <t>108983</t>
  </si>
  <si>
    <t>120TAB</t>
  </si>
  <si>
    <t>19818</t>
  </si>
  <si>
    <t>SERPINA TAB</t>
  </si>
  <si>
    <t>Total Value (BRAIN)</t>
  </si>
  <si>
    <t>CAPSULES</t>
  </si>
  <si>
    <t>10177</t>
  </si>
  <si>
    <t>EVECARE CAP</t>
  </si>
  <si>
    <t>30CAP</t>
  </si>
  <si>
    <t>108327</t>
  </si>
  <si>
    <t>FLORA SANTE CAP</t>
  </si>
  <si>
    <t>10CAP</t>
  </si>
  <si>
    <t>118850</t>
  </si>
  <si>
    <t>HIMA ORG ASHWAGANDHA CAP</t>
  </si>
  <si>
    <t>112045</t>
  </si>
  <si>
    <t>112048</t>
  </si>
  <si>
    <t>HIMA ORG BACOPA CAP</t>
  </si>
  <si>
    <t>112046</t>
  </si>
  <si>
    <t>HIMA ORG GOKSHURA CAP</t>
  </si>
  <si>
    <t>112047</t>
  </si>
  <si>
    <t>HIMA ORG NEEM CAP</t>
  </si>
  <si>
    <t>116846</t>
  </si>
  <si>
    <t>HIMA SHILAJIT CAP</t>
  </si>
  <si>
    <t>20493</t>
  </si>
  <si>
    <t>OXITARD CAP</t>
  </si>
  <si>
    <t>24655</t>
  </si>
  <si>
    <t>TALEKT CAP</t>
  </si>
  <si>
    <t>26261</t>
  </si>
  <si>
    <t>TENTEX ROYAL CAP</t>
  </si>
  <si>
    <t>Total Value (CAPSULES)</t>
  </si>
  <si>
    <t>CONSTIPATION</t>
  </si>
  <si>
    <t>4693</t>
  </si>
  <si>
    <t>HERBOLAX CAP</t>
  </si>
  <si>
    <t>Total Value (CONSTIPATION)</t>
  </si>
  <si>
    <t>CREAM</t>
  </si>
  <si>
    <t>4251</t>
  </si>
  <si>
    <t>BLEMINOR CREAM</t>
  </si>
  <si>
    <t>30ML</t>
  </si>
  <si>
    <t>7220</t>
  </si>
  <si>
    <t>HIMA CLARINA CREAM</t>
  </si>
  <si>
    <t>30GM</t>
  </si>
  <si>
    <t>97573</t>
  </si>
  <si>
    <t>VEGECORT CREAM</t>
  </si>
  <si>
    <t>Total Value (CREAM)</t>
  </si>
  <si>
    <t>DIABETES CARE</t>
  </si>
  <si>
    <t>2454</t>
  </si>
  <si>
    <t>DIABECON DS TAB</t>
  </si>
  <si>
    <t>2455</t>
  </si>
  <si>
    <t>DIABECON TAB</t>
  </si>
  <si>
    <t>18449</t>
  </si>
  <si>
    <t>HIMA MESHASHRINGI TAB</t>
  </si>
  <si>
    <t>Total Value (DIABETES CARE)</t>
  </si>
  <si>
    <t>DIGESTION</t>
  </si>
  <si>
    <t>2861</t>
  </si>
  <si>
    <t>GASEX TAB</t>
  </si>
  <si>
    <t>5381</t>
  </si>
  <si>
    <t>HIMA BAEL CAP</t>
  </si>
  <si>
    <t>19519</t>
  </si>
  <si>
    <t>HIMA TRIKATU CAP</t>
  </si>
  <si>
    <t>26079</t>
  </si>
  <si>
    <t>HIMA TRIPHALA TAB</t>
  </si>
  <si>
    <t>29599</t>
  </si>
  <si>
    <t>HIMA YASHTIMADHU CAP</t>
  </si>
  <si>
    <t>Total Value (DIGESTION)</t>
  </si>
  <si>
    <t>EYE DROPS</t>
  </si>
  <si>
    <t>22632</t>
  </si>
  <si>
    <t>HIMA OPHTHACARE EYE DROP</t>
  </si>
  <si>
    <t>10ML</t>
  </si>
  <si>
    <t>Total Value (EYE DROPS)</t>
  </si>
  <si>
    <t>FACE WASH GEL</t>
  </si>
  <si>
    <t>7221</t>
  </si>
  <si>
    <t>HIMA CLARINA F/WASH GEL</t>
  </si>
  <si>
    <t>60ML</t>
  </si>
  <si>
    <t>Total Value (FACE WASH GEL)</t>
  </si>
  <si>
    <t>GEL</t>
  </si>
  <si>
    <t>4876</t>
  </si>
  <si>
    <t>HIMCOLIN GEL</t>
  </si>
  <si>
    <t>4898</t>
  </si>
  <si>
    <t>HIORA SG GEL</t>
  </si>
  <si>
    <t>10GM</t>
  </si>
  <si>
    <t>21927</t>
  </si>
  <si>
    <t>RUMALAYA GEL</t>
  </si>
  <si>
    <t>Total Value (GEL)</t>
  </si>
  <si>
    <t>GRANULES</t>
  </si>
  <si>
    <t>127887</t>
  </si>
  <si>
    <t>HIMA GALACTOSURE GRANULES</t>
  </si>
  <si>
    <t>200GM</t>
  </si>
  <si>
    <t>Total Value (GRANULES)</t>
  </si>
  <si>
    <t>GUMMIES</t>
  </si>
  <si>
    <t>121575</t>
  </si>
  <si>
    <t>HIMA HEALTHY HAIR GUMMIES (STRAWBERRY)</t>
  </si>
  <si>
    <t>30GUMMIES</t>
  </si>
  <si>
    <t>118013</t>
  </si>
  <si>
    <t>HIMA SEPTILIN GUMMIES</t>
  </si>
  <si>
    <t>Total Value (GUMMIES)</t>
  </si>
  <si>
    <t>HAIR GROWTH</t>
  </si>
  <si>
    <t>2988</t>
  </si>
  <si>
    <t>HAIRZONE SOLUTION</t>
  </si>
  <si>
    <t>Total Value (HAIR GROWTH)</t>
  </si>
  <si>
    <t>IMPERFECT SKIN</t>
  </si>
  <si>
    <t>63948</t>
  </si>
  <si>
    <t>AACTARIL SOAP</t>
  </si>
  <si>
    <t>75GM</t>
  </si>
  <si>
    <t>Total Value (IMPERFECT SKIN)</t>
  </si>
  <si>
    <t>KIDNEY</t>
  </si>
  <si>
    <t>9138</t>
  </si>
  <si>
    <t>CYSTONE TAB</t>
  </si>
  <si>
    <t>Total Value (KIDNEY)</t>
  </si>
  <si>
    <t>LINCTUS</t>
  </si>
  <si>
    <t>86077</t>
  </si>
  <si>
    <t>KOFLET EX SF LINCTUS</t>
  </si>
  <si>
    <t>100ML</t>
  </si>
  <si>
    <t>48276</t>
  </si>
  <si>
    <t>KOFLET SF LINCTUS</t>
  </si>
  <si>
    <t>Total Value (LINCTUS)</t>
  </si>
  <si>
    <t>LINIMENT</t>
  </si>
  <si>
    <t>21928</t>
  </si>
  <si>
    <t>RUMALAYA LINIMENT</t>
  </si>
  <si>
    <t>Total Value (LINIMENT)</t>
  </si>
  <si>
    <t>LIVER</t>
  </si>
  <si>
    <t>5769</t>
  </si>
  <si>
    <t>LIV 52 DS TAB</t>
  </si>
  <si>
    <t>5771</t>
  </si>
  <si>
    <t>LIV 52 HB CAP</t>
  </si>
  <si>
    <t>5718</t>
  </si>
  <si>
    <t>LIV 52 TAB</t>
  </si>
  <si>
    <t>Total Value (LIVER)</t>
  </si>
  <si>
    <t>LOZENGES</t>
  </si>
  <si>
    <t>35112</t>
  </si>
  <si>
    <t>HIMA KOFLET H GINGER LOZENGES</t>
  </si>
  <si>
    <t>6TAB</t>
  </si>
  <si>
    <t>35113</t>
  </si>
  <si>
    <t>HIMA KOFLET H ORANGE LOZENGES</t>
  </si>
  <si>
    <t>88359</t>
  </si>
  <si>
    <t>HIMA KOFLET JAR</t>
  </si>
  <si>
    <t>1PC</t>
  </si>
  <si>
    <t>13351</t>
  </si>
  <si>
    <t>HIMA KOFLET LOZENGES</t>
  </si>
  <si>
    <t>10TAB</t>
  </si>
  <si>
    <t>128605</t>
  </si>
  <si>
    <t>HIMA KOFLET LOZENGES (CLOVE,LICORICE&amp;TRIKATU)</t>
  </si>
  <si>
    <t>15PCS</t>
  </si>
  <si>
    <t>88937</t>
  </si>
  <si>
    <t>HIMA KOFLET SF GINGER MINT LOZENGES</t>
  </si>
  <si>
    <t>6PC</t>
  </si>
  <si>
    <t>98621</t>
  </si>
  <si>
    <t>HIMA KOFLET SF ORANGE LOZENGES</t>
  </si>
  <si>
    <t>Total Value (LOZENGES)</t>
  </si>
  <si>
    <t>MOUTH WASH</t>
  </si>
  <si>
    <t>46170</t>
  </si>
  <si>
    <t>HIORA K MOUTH WASH</t>
  </si>
  <si>
    <t>150ML</t>
  </si>
  <si>
    <t>4897</t>
  </si>
  <si>
    <t>HIORA MOUTH WASH (REGULAR)</t>
  </si>
  <si>
    <t>87036</t>
  </si>
  <si>
    <t>ORO T ORAL RINSE</t>
  </si>
  <si>
    <t>Total Value (MOUTH WASH)</t>
  </si>
  <si>
    <t>NASAL SOLUTION</t>
  </si>
  <si>
    <t>79281</t>
  </si>
  <si>
    <t>HIMA BRESOL NS SALINE NASAL SOLU</t>
  </si>
  <si>
    <t>Total Value (NASAL SOLUTION)</t>
  </si>
  <si>
    <t>OINTMENT</t>
  </si>
  <si>
    <t>88388</t>
  </si>
  <si>
    <t>PILEX FORTE OINTMENT</t>
  </si>
  <si>
    <t>Total Value (OINTMENT)</t>
  </si>
  <si>
    <t>ORAL DROPS</t>
  </si>
  <si>
    <t>4331</t>
  </si>
  <si>
    <t>BONNISPAZ DROP</t>
  </si>
  <si>
    <t>15ML</t>
  </si>
  <si>
    <t>4328</t>
  </si>
  <si>
    <t>HIMA BONNISAN DROPS</t>
  </si>
  <si>
    <t>Total Value (ORAL DROPS)</t>
  </si>
  <si>
    <t>ORAL GEL</t>
  </si>
  <si>
    <t>4901</t>
  </si>
  <si>
    <t>HIORA GA GUM ASTRINGENT</t>
  </si>
  <si>
    <t>Total Value (ORAL GEL)</t>
  </si>
  <si>
    <t>ORAL LIQUID</t>
  </si>
  <si>
    <t>4329</t>
  </si>
  <si>
    <t>HIMA BONNISAN LIQ</t>
  </si>
  <si>
    <t>4330</t>
  </si>
  <si>
    <t>Total Value (ORAL LIQUID)</t>
  </si>
  <si>
    <t>ORAL SUSPENSION</t>
  </si>
  <si>
    <t>13107</t>
  </si>
  <si>
    <t>HIMCOCID SF BANANA SUSPENSION</t>
  </si>
  <si>
    <t>13108</t>
  </si>
  <si>
    <t>HIMCOCID SF MINT SUSPENSION</t>
  </si>
  <si>
    <t>13109</t>
  </si>
  <si>
    <t>HIMCOCID SF SAUNF SUSPENSION</t>
  </si>
  <si>
    <t>Total Value (ORAL SUSPENSION)</t>
  </si>
  <si>
    <t>PILES</t>
  </si>
  <si>
    <t>22875</t>
  </si>
  <si>
    <t>PILEX TAB</t>
  </si>
  <si>
    <t>Total Value (PILES)</t>
  </si>
  <si>
    <t>POWDER</t>
  </si>
  <si>
    <t>84715</t>
  </si>
  <si>
    <t>HIMA QUISTA KIDZ CHOCO POWDER</t>
  </si>
  <si>
    <t>84716</t>
  </si>
  <si>
    <t>HIMA QUISTA KIDZ VANILLA POWDER</t>
  </si>
  <si>
    <t>Total Value (POWDER)</t>
  </si>
  <si>
    <t>PROSTATE</t>
  </si>
  <si>
    <t>4883</t>
  </si>
  <si>
    <t>HIMPLASIA TAB</t>
  </si>
  <si>
    <t>24818</t>
  </si>
  <si>
    <t>SPEMAN TAB</t>
  </si>
  <si>
    <t>Total Value (PROSTATE)</t>
  </si>
  <si>
    <t>ROLL ON</t>
  </si>
  <si>
    <t>117199</t>
  </si>
  <si>
    <t>HIMA RUMALAYA LINIMENT ROLL ON</t>
  </si>
  <si>
    <t>128373</t>
  </si>
  <si>
    <t>50ML</t>
  </si>
  <si>
    <t>Total Value (ROLL ON)</t>
  </si>
  <si>
    <t>SYRUP</t>
  </si>
  <si>
    <t>88356</t>
  </si>
  <si>
    <t>BRESOL SYRUP</t>
  </si>
  <si>
    <t>89286</t>
  </si>
  <si>
    <t>CYSTONE SF SYRUP</t>
  </si>
  <si>
    <t>9136</t>
  </si>
  <si>
    <t>CYSTONE SYRUP</t>
  </si>
  <si>
    <t>10178</t>
  </si>
  <si>
    <t>EVECARE SYRUP</t>
  </si>
  <si>
    <t>29725</t>
  </si>
  <si>
    <t>400ML</t>
  </si>
  <si>
    <t>73501</t>
  </si>
  <si>
    <t>GASEX ELAICHI SYRUP</t>
  </si>
  <si>
    <t>73500</t>
  </si>
  <si>
    <t>GASEX GINGER LEMON SYRUP</t>
  </si>
  <si>
    <t>12315</t>
  </si>
  <si>
    <t>GERIFORTE SYRUP</t>
  </si>
  <si>
    <t>85060</t>
  </si>
  <si>
    <t>HIMA BRAHMI SYRUP</t>
  </si>
  <si>
    <t>40167</t>
  </si>
  <si>
    <t>HIMA TRIPHALA SYRUP</t>
  </si>
  <si>
    <t>40169</t>
  </si>
  <si>
    <t>HIMA TULASI SYRUP</t>
  </si>
  <si>
    <t>13352</t>
  </si>
  <si>
    <t>KOFLET SYRUP</t>
  </si>
  <si>
    <t>56945</t>
  </si>
  <si>
    <t>LIV 52 DS SYRUP</t>
  </si>
  <si>
    <t>5768</t>
  </si>
  <si>
    <t>5716</t>
  </si>
  <si>
    <t>LIV 52 SYRUP</t>
  </si>
  <si>
    <t>5717</t>
  </si>
  <si>
    <t>48197</t>
  </si>
  <si>
    <t>LUKOL SYRUP</t>
  </si>
  <si>
    <t>18081</t>
  </si>
  <si>
    <t>MENTAT DS SYRUP</t>
  </si>
  <si>
    <t>18082</t>
  </si>
  <si>
    <t>MENTAT SYRUP</t>
  </si>
  <si>
    <t>99676</t>
  </si>
  <si>
    <t>PLATENZA SYRUP</t>
  </si>
  <si>
    <t>23202</t>
  </si>
  <si>
    <t>RENALKA SYRUP</t>
  </si>
  <si>
    <t>23203</t>
  </si>
  <si>
    <t>24980</t>
  </si>
  <si>
    <t>SEPTILIN SYRUP</t>
  </si>
  <si>
    <t>Total Value (SYRUP)</t>
  </si>
  <si>
    <t>TABLETS</t>
  </si>
  <si>
    <t>913</t>
  </si>
  <si>
    <t>ABANA TAB</t>
  </si>
  <si>
    <t>43741</t>
  </si>
  <si>
    <t>ASHVAGANDHA TAB</t>
  </si>
  <si>
    <t>100717</t>
  </si>
  <si>
    <t>BRAHMI 500MG TAB</t>
  </si>
  <si>
    <t>4419</t>
  </si>
  <si>
    <t>BRESOL TAB</t>
  </si>
  <si>
    <t>76132</t>
  </si>
  <si>
    <t>CYSTONE FORTE TAB</t>
  </si>
  <si>
    <t>2526</t>
  </si>
  <si>
    <t>DIAREX TAB</t>
  </si>
  <si>
    <t>87163</t>
  </si>
  <si>
    <t>EVECARE FORTE TAB</t>
  </si>
  <si>
    <t>4694</t>
  </si>
  <si>
    <t>HERBOLAX TAB</t>
  </si>
  <si>
    <t>119778</t>
  </si>
  <si>
    <t>HIMA GERIFORTE TAB</t>
  </si>
  <si>
    <t>108982</t>
  </si>
  <si>
    <t>86481</t>
  </si>
  <si>
    <t>HIMA PLATENZA TAB</t>
  </si>
  <si>
    <t>18077</t>
  </si>
  <si>
    <t>MENOSAN TAB</t>
  </si>
  <si>
    <t>18083</t>
  </si>
  <si>
    <t>MENTAT TAB</t>
  </si>
  <si>
    <t>89765</t>
  </si>
  <si>
    <t>PILEX FORTE TAB</t>
  </si>
  <si>
    <t>21615</t>
  </si>
  <si>
    <t>PURIM TAB</t>
  </si>
  <si>
    <t>23257</t>
  </si>
  <si>
    <t>REOSTO TAB</t>
  </si>
  <si>
    <t>26260</t>
  </si>
  <si>
    <t>TENTEX FORTE TAB</t>
  </si>
  <si>
    <t>Total Value (TABLETS)</t>
  </si>
  <si>
    <t>TOOTH PASTE</t>
  </si>
  <si>
    <t>4896</t>
  </si>
  <si>
    <t>HIORA K PASTE</t>
  </si>
  <si>
    <t>50GM</t>
  </si>
  <si>
    <t>4895</t>
  </si>
  <si>
    <t>HIORA K PASTE.</t>
  </si>
  <si>
    <t>100GM</t>
  </si>
  <si>
    <t>Total Value (TOOTH PASTE)</t>
  </si>
  <si>
    <t>UTI</t>
  </si>
  <si>
    <t>21568</t>
  </si>
  <si>
    <t>HIMA PUNARNAVA TAB</t>
  </si>
  <si>
    <t>Total Value (UTI)</t>
  </si>
  <si>
    <t>VAGINAL GEL</t>
  </si>
  <si>
    <t>27591</t>
  </si>
  <si>
    <t>V GEL CREAM</t>
  </si>
  <si>
    <t>Total Value (VAGINAL GEL)</t>
  </si>
  <si>
    <t>WOMENS HEALTH</t>
  </si>
  <si>
    <t>25638</t>
  </si>
  <si>
    <t>HIMA SHATAVARI TAB</t>
  </si>
  <si>
    <t>Total Value (WOMENS HEALTH)</t>
  </si>
  <si>
    <t>Total</t>
  </si>
  <si>
    <t>Itemname</t>
  </si>
  <si>
    <t>Batch</t>
  </si>
  <si>
    <t>Expiry</t>
  </si>
  <si>
    <t>Qty</t>
  </si>
  <si>
    <t>Pur.Date</t>
  </si>
  <si>
    <t>NEW WELCOME AGENCIES PRIVATE LIMITED</t>
  </si>
  <si>
    <t>TENEMENT NO. 2/7,2/8,2/9,2/10, GRD AND FIRST FLOOR SWEEPERS COLONY,MOTILAL NAGAR NO-1,GOREGOAN WEST</t>
  </si>
  <si>
    <t>Stock And Sales</t>
  </si>
  <si>
    <t xml:space="preserve"> 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</si>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</sst>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right" vertical="center" wrapText="1"/>
    </xf>
    <xf numFmtId="2" fontId="6" fillId="3" borderId="2" xfId="0" applyNumberFormat="1" applyFont="1" applyFill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2" fontId="7" fillId="0" borderId="2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2" fontId="8" fillId="0" borderId="2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2" fontId="9" fillId="2" borderId="2" xfId="0" applyNumberFormat="1" applyFont="1" applyFill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2" fontId="6" fillId="2" borderId="2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8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389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390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391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392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393</v>
      </c>
      <c r="B5" s="6" t="s">
        <v>394</v>
      </c>
      <c r="C5" s="6" t="s">
        <v>395</v>
      </c>
      <c r="D5" s="7" t="s">
        <v>396</v>
      </c>
      <c r="E5" s="7" t="s">
        <v>397</v>
      </c>
      <c r="F5" s="7" t="s">
        <v>398</v>
      </c>
      <c r="G5" s="7" t="s">
        <v>399</v>
      </c>
      <c r="H5" s="8" t="s">
        <v>400</v>
      </c>
      <c r="I5" s="8" t="s">
        <v>401</v>
      </c>
      <c r="J5" s="8" t="s">
        <v>402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 t="s">
        <v>1</v>
      </c>
      <c r="B7" s="12" t="s">
        <v>2</v>
      </c>
      <c r="C7" s="12" t="s">
        <v>3</v>
      </c>
      <c r="D7" s="13">
        <v>57</v>
      </c>
      <c r="E7" s="13">
        <v>100</v>
      </c>
      <c r="F7" s="14">
        <v>38</v>
      </c>
      <c r="G7" s="15">
        <v>119</v>
      </c>
      <c r="H7" s="16">
        <v>17223</v>
      </c>
      <c r="I7" s="16">
        <v>5800.7</v>
      </c>
      <c r="J7" s="16">
        <v>20123.18</v>
      </c>
    </row>
    <row r="8" spans="1:10" ht="10.7" customHeight="1" x14ac:dyDescent="0.15">
      <c r="A8" s="17" t="s">
        <v>4</v>
      </c>
      <c r="B8" s="17" t="s">
        <v>5</v>
      </c>
      <c r="C8" s="17" t="s">
        <v>3</v>
      </c>
      <c r="D8" s="18">
        <v>41</v>
      </c>
      <c r="E8" s="18">
        <v>60</v>
      </c>
      <c r="F8" s="14">
        <v>45</v>
      </c>
      <c r="G8" s="15">
        <v>56</v>
      </c>
      <c r="H8" s="16">
        <v>13237.8</v>
      </c>
      <c r="I8" s="16">
        <v>9928.35</v>
      </c>
      <c r="J8" s="16">
        <v>12355.28</v>
      </c>
    </row>
    <row r="9" spans="1:10" ht="10.7" customHeight="1" x14ac:dyDescent="0.15">
      <c r="A9" s="17" t="s">
        <v>6</v>
      </c>
      <c r="B9" s="17" t="s">
        <v>7</v>
      </c>
      <c r="C9" s="17" t="s">
        <v>3</v>
      </c>
      <c r="D9" s="18">
        <v>60</v>
      </c>
      <c r="E9" s="18">
        <v>0</v>
      </c>
      <c r="F9" s="14">
        <v>54</v>
      </c>
      <c r="G9" s="15">
        <v>6</v>
      </c>
      <c r="H9" s="16">
        <v>0</v>
      </c>
      <c r="I9" s="16">
        <v>9531.5400000000009</v>
      </c>
      <c r="J9" s="16">
        <v>1059.06</v>
      </c>
    </row>
    <row r="10" spans="1:10" ht="10.7" customHeight="1" x14ac:dyDescent="0.15">
      <c r="A10" s="17" t="s">
        <v>8</v>
      </c>
      <c r="B10" s="17" t="s">
        <v>9</v>
      </c>
      <c r="C10" s="17" t="s">
        <v>10</v>
      </c>
      <c r="D10" s="18">
        <v>0</v>
      </c>
      <c r="E10" s="18">
        <v>24</v>
      </c>
      <c r="F10" s="14">
        <v>0</v>
      </c>
      <c r="G10" s="15">
        <v>24</v>
      </c>
      <c r="H10" s="16">
        <v>4921.84</v>
      </c>
      <c r="I10" s="16">
        <v>0</v>
      </c>
      <c r="J10" s="16">
        <v>4921.84</v>
      </c>
    </row>
    <row r="11" spans="1:10" ht="10.7" customHeight="1" x14ac:dyDescent="0.15">
      <c r="A11" s="17" t="s">
        <v>11</v>
      </c>
      <c r="B11" s="17" t="s">
        <v>12</v>
      </c>
      <c r="C11" s="17" t="s">
        <v>13</v>
      </c>
      <c r="D11" s="18">
        <v>8</v>
      </c>
      <c r="E11" s="18">
        <v>0</v>
      </c>
      <c r="F11" s="14">
        <v>8</v>
      </c>
      <c r="G11" s="15">
        <v>0</v>
      </c>
      <c r="H11" s="16">
        <v>0</v>
      </c>
      <c r="I11" s="16">
        <v>4676</v>
      </c>
      <c r="J11" s="16">
        <v>0</v>
      </c>
    </row>
    <row r="12" spans="1:10" ht="10.7" customHeight="1" x14ac:dyDescent="0.15">
      <c r="A12" s="17" t="s">
        <v>14</v>
      </c>
      <c r="B12" s="17" t="s">
        <v>15</v>
      </c>
      <c r="C12" s="17" t="s">
        <v>3</v>
      </c>
      <c r="D12" s="18">
        <v>60</v>
      </c>
      <c r="E12" s="18">
        <v>0</v>
      </c>
      <c r="F12" s="14">
        <v>0</v>
      </c>
      <c r="G12" s="15">
        <v>60</v>
      </c>
      <c r="H12" s="16">
        <v>0</v>
      </c>
      <c r="I12" s="16">
        <v>0</v>
      </c>
      <c r="J12" s="16">
        <v>10590.6</v>
      </c>
    </row>
    <row r="13" spans="1:10" ht="10.7" customHeight="1" x14ac:dyDescent="0.15">
      <c r="A13" s="17" t="s">
        <v>16</v>
      </c>
      <c r="B13" s="17" t="s">
        <v>17</v>
      </c>
      <c r="C13" s="17" t="s">
        <v>18</v>
      </c>
      <c r="D13" s="18">
        <v>0</v>
      </c>
      <c r="E13" s="18">
        <v>28</v>
      </c>
      <c r="F13" s="14">
        <v>7</v>
      </c>
      <c r="G13" s="15">
        <v>21</v>
      </c>
      <c r="H13" s="16">
        <v>4617.2299999999996</v>
      </c>
      <c r="I13" s="16">
        <v>1154.3699999999999</v>
      </c>
      <c r="J13" s="16">
        <v>3462.92</v>
      </c>
    </row>
    <row r="14" spans="1:10" ht="10.7" customHeight="1" x14ac:dyDescent="0.15">
      <c r="A14" s="17" t="s">
        <v>19</v>
      </c>
      <c r="B14" s="17" t="s">
        <v>20</v>
      </c>
      <c r="C14" s="17" t="s">
        <v>3</v>
      </c>
      <c r="D14" s="18">
        <v>0</v>
      </c>
      <c r="E14" s="18">
        <v>0</v>
      </c>
      <c r="F14" s="14">
        <v>0</v>
      </c>
      <c r="G14" s="15">
        <v>0</v>
      </c>
      <c r="H14" s="16">
        <v>0</v>
      </c>
      <c r="I14" s="16">
        <v>0</v>
      </c>
      <c r="J14" s="16">
        <v>0</v>
      </c>
    </row>
    <row r="15" spans="1:10" ht="10.7" customHeight="1" x14ac:dyDescent="0.15">
      <c r="A15" s="17" t="s">
        <v>21</v>
      </c>
      <c r="B15" s="17" t="s">
        <v>22</v>
      </c>
      <c r="C15" s="17" t="s">
        <v>3</v>
      </c>
      <c r="D15" s="18">
        <v>1</v>
      </c>
      <c r="E15" s="18">
        <v>0</v>
      </c>
      <c r="F15" s="14">
        <v>1</v>
      </c>
      <c r="G15" s="15">
        <v>0</v>
      </c>
      <c r="H15" s="16">
        <v>0</v>
      </c>
      <c r="I15" s="16">
        <v>176.51</v>
      </c>
      <c r="J15" s="16">
        <v>0</v>
      </c>
    </row>
    <row r="16" spans="1:10" ht="10.7" customHeight="1" x14ac:dyDescent="0.15">
      <c r="A16" s="17" t="s">
        <v>23</v>
      </c>
      <c r="B16" s="17" t="s">
        <v>24</v>
      </c>
      <c r="C16" s="17" t="s">
        <v>3</v>
      </c>
      <c r="D16" s="18">
        <v>55</v>
      </c>
      <c r="E16" s="18">
        <v>0</v>
      </c>
      <c r="F16" s="14">
        <v>8</v>
      </c>
      <c r="G16" s="15">
        <v>47</v>
      </c>
      <c r="H16" s="16">
        <v>0</v>
      </c>
      <c r="I16" s="16">
        <v>1547.84</v>
      </c>
      <c r="J16" s="16">
        <v>9093.42</v>
      </c>
    </row>
    <row r="17" spans="1:10" ht="10.7" customHeight="1" x14ac:dyDescent="0.15">
      <c r="A17" s="17" t="s">
        <v>25</v>
      </c>
      <c r="B17" s="17" t="s">
        <v>26</v>
      </c>
      <c r="C17" s="17" t="s">
        <v>10</v>
      </c>
      <c r="D17" s="18">
        <v>16</v>
      </c>
      <c r="E17" s="18">
        <v>0</v>
      </c>
      <c r="F17" s="14">
        <v>1</v>
      </c>
      <c r="G17" s="15">
        <v>15</v>
      </c>
      <c r="H17" s="16">
        <v>0</v>
      </c>
      <c r="I17" s="16">
        <v>183.3</v>
      </c>
      <c r="J17" s="16">
        <v>2749.41</v>
      </c>
    </row>
    <row r="18" spans="1:10" ht="10.7" customHeight="1" x14ac:dyDescent="0.15">
      <c r="A18" s="17" t="s">
        <v>27</v>
      </c>
      <c r="B18" s="17" t="s">
        <v>28</v>
      </c>
      <c r="C18" s="17" t="s">
        <v>3</v>
      </c>
      <c r="D18" s="18">
        <v>64</v>
      </c>
      <c r="E18" s="18">
        <v>0</v>
      </c>
      <c r="F18" s="14">
        <v>26</v>
      </c>
      <c r="G18" s="15">
        <v>38</v>
      </c>
      <c r="H18" s="16">
        <v>0</v>
      </c>
      <c r="I18" s="16">
        <v>5014.2</v>
      </c>
      <c r="J18" s="16">
        <v>7348.05</v>
      </c>
    </row>
    <row r="19" spans="1:10" ht="10.7" customHeight="1" x14ac:dyDescent="0.15">
      <c r="A19" s="17" t="s">
        <v>29</v>
      </c>
      <c r="B19" s="17" t="s">
        <v>30</v>
      </c>
      <c r="C19" s="17" t="s">
        <v>3</v>
      </c>
      <c r="D19" s="18">
        <v>78</v>
      </c>
      <c r="E19" s="18">
        <v>0</v>
      </c>
      <c r="F19" s="14">
        <v>31</v>
      </c>
      <c r="G19" s="15">
        <v>47</v>
      </c>
      <c r="H19" s="16">
        <v>0</v>
      </c>
      <c r="I19" s="16">
        <v>6640.99</v>
      </c>
      <c r="J19" s="16">
        <v>10369.61</v>
      </c>
    </row>
    <row r="20" spans="1:10" ht="10.7" customHeight="1" x14ac:dyDescent="0.15">
      <c r="A20" s="17" t="s">
        <v>31</v>
      </c>
      <c r="B20" s="17" t="s">
        <v>32</v>
      </c>
      <c r="C20" s="17" t="s">
        <v>3</v>
      </c>
      <c r="D20" s="18">
        <v>0</v>
      </c>
      <c r="E20" s="18">
        <v>0</v>
      </c>
      <c r="F20" s="14">
        <v>0</v>
      </c>
      <c r="G20" s="15">
        <v>0</v>
      </c>
      <c r="H20" s="16">
        <v>0</v>
      </c>
      <c r="I20" s="16">
        <v>0</v>
      </c>
      <c r="J20" s="16">
        <v>0</v>
      </c>
    </row>
    <row r="21" spans="1:10" ht="10.7" customHeight="1" x14ac:dyDescent="0.15">
      <c r="A21" s="17" t="s">
        <v>33</v>
      </c>
      <c r="B21" s="17" t="s">
        <v>34</v>
      </c>
      <c r="C21" s="17" t="s">
        <v>3</v>
      </c>
      <c r="D21" s="18">
        <v>0</v>
      </c>
      <c r="E21" s="18">
        <v>0</v>
      </c>
      <c r="F21" s="14">
        <v>0</v>
      </c>
      <c r="G21" s="15">
        <v>0</v>
      </c>
      <c r="H21" s="16">
        <v>0</v>
      </c>
      <c r="I21" s="16">
        <v>0</v>
      </c>
      <c r="J21" s="16">
        <v>0</v>
      </c>
    </row>
    <row r="22" spans="1:10" ht="10.7" customHeight="1" x14ac:dyDescent="0.15">
      <c r="A22" s="17" t="s">
        <v>35</v>
      </c>
      <c r="B22" s="17" t="s">
        <v>36</v>
      </c>
      <c r="C22" s="17" t="s">
        <v>3</v>
      </c>
      <c r="D22" s="18">
        <v>17</v>
      </c>
      <c r="E22" s="18">
        <v>0</v>
      </c>
      <c r="F22" s="14">
        <v>6</v>
      </c>
      <c r="G22" s="15">
        <v>11</v>
      </c>
      <c r="H22" s="16">
        <v>0</v>
      </c>
      <c r="I22" s="16">
        <v>1112.04</v>
      </c>
      <c r="J22" s="16">
        <v>2038.64</v>
      </c>
    </row>
    <row r="23" spans="1:10" ht="10.7" customHeight="1" x14ac:dyDescent="0.15">
      <c r="A23" s="17" t="s">
        <v>37</v>
      </c>
      <c r="B23" s="17" t="s">
        <v>38</v>
      </c>
      <c r="C23" s="17" t="s">
        <v>3</v>
      </c>
      <c r="D23" s="18">
        <v>53</v>
      </c>
      <c r="E23" s="18">
        <v>0</v>
      </c>
      <c r="F23" s="14">
        <v>15</v>
      </c>
      <c r="G23" s="15">
        <v>38</v>
      </c>
      <c r="H23" s="16">
        <v>0</v>
      </c>
      <c r="I23" s="16">
        <v>3551.4</v>
      </c>
      <c r="J23" s="16">
        <v>8996.85</v>
      </c>
    </row>
    <row r="24" spans="1:10" ht="10.7" customHeight="1" x14ac:dyDescent="0.15">
      <c r="A24" s="17" t="s">
        <v>39</v>
      </c>
      <c r="B24" s="17" t="s">
        <v>40</v>
      </c>
      <c r="C24" s="17" t="s">
        <v>3</v>
      </c>
      <c r="D24" s="18">
        <v>21</v>
      </c>
      <c r="E24" s="18">
        <v>60</v>
      </c>
      <c r="F24" s="14">
        <v>25</v>
      </c>
      <c r="G24" s="15">
        <v>56</v>
      </c>
      <c r="H24" s="16">
        <v>13237.8</v>
      </c>
      <c r="I24" s="16">
        <v>5515.75</v>
      </c>
      <c r="J24" s="16">
        <v>12355.28</v>
      </c>
    </row>
    <row r="25" spans="1:10" ht="10.7" customHeight="1" x14ac:dyDescent="0.15">
      <c r="A25" s="17" t="s">
        <v>41</v>
      </c>
      <c r="B25" s="17" t="s">
        <v>42</v>
      </c>
      <c r="C25" s="17" t="s">
        <v>3</v>
      </c>
      <c r="D25" s="18">
        <v>0</v>
      </c>
      <c r="E25" s="18">
        <v>0</v>
      </c>
      <c r="F25" s="14">
        <v>0</v>
      </c>
      <c r="G25" s="15">
        <v>0</v>
      </c>
      <c r="H25" s="16">
        <v>0</v>
      </c>
      <c r="I25" s="16">
        <v>0</v>
      </c>
      <c r="J25" s="16">
        <v>0</v>
      </c>
    </row>
    <row r="26" spans="1:10" ht="10.7" customHeight="1" x14ac:dyDescent="0.15">
      <c r="A26" s="17" t="s">
        <v>43</v>
      </c>
      <c r="B26" s="17" t="s">
        <v>44</v>
      </c>
      <c r="C26" s="17" t="s">
        <v>3</v>
      </c>
      <c r="D26" s="18">
        <v>0</v>
      </c>
      <c r="E26" s="18">
        <v>0</v>
      </c>
      <c r="F26" s="14">
        <v>0</v>
      </c>
      <c r="G26" s="15">
        <v>0</v>
      </c>
      <c r="H26" s="16">
        <v>0</v>
      </c>
      <c r="I26" s="16">
        <v>0</v>
      </c>
      <c r="J26" s="16">
        <v>0</v>
      </c>
    </row>
    <row r="27" spans="1:10" ht="10.7" customHeight="1" x14ac:dyDescent="0.15">
      <c r="A27" s="17" t="s">
        <v>45</v>
      </c>
      <c r="B27" s="17" t="s">
        <v>46</v>
      </c>
      <c r="C27" s="17" t="s">
        <v>3</v>
      </c>
      <c r="D27" s="18">
        <v>30</v>
      </c>
      <c r="E27" s="18">
        <v>50</v>
      </c>
      <c r="F27" s="14">
        <v>25</v>
      </c>
      <c r="G27" s="15">
        <v>55</v>
      </c>
      <c r="H27" s="16">
        <v>8949</v>
      </c>
      <c r="I27" s="16">
        <v>3973</v>
      </c>
      <c r="J27" s="16">
        <v>9743.59</v>
      </c>
    </row>
    <row r="28" spans="1:10" ht="10.7" customHeight="1" x14ac:dyDescent="0.15">
      <c r="A28" s="17" t="s">
        <v>47</v>
      </c>
      <c r="B28" s="17" t="s">
        <v>48</v>
      </c>
      <c r="C28" s="17" t="s">
        <v>3</v>
      </c>
      <c r="D28" s="18">
        <v>200</v>
      </c>
      <c r="E28" s="18">
        <v>600</v>
      </c>
      <c r="F28" s="14">
        <v>313</v>
      </c>
      <c r="G28" s="15">
        <v>487</v>
      </c>
      <c r="H28" s="16">
        <v>101022.01</v>
      </c>
      <c r="I28" s="16">
        <v>53715.76</v>
      </c>
      <c r="J28" s="16">
        <v>82022.399999999994</v>
      </c>
    </row>
    <row r="29" spans="1:10" ht="10.7" customHeight="1" x14ac:dyDescent="0.15">
      <c r="A29" s="19" t="s">
        <v>49</v>
      </c>
      <c r="B29" s="19"/>
      <c r="C29" s="19"/>
      <c r="D29" s="20">
        <v>113607.89</v>
      </c>
      <c r="E29" s="20"/>
      <c r="F29" s="21"/>
      <c r="G29" s="22"/>
      <c r="H29" s="23">
        <f>SUM(H7:H28)</f>
        <v>163208.68</v>
      </c>
      <c r="I29" s="23">
        <f>SUM(I7:I28)</f>
        <v>112521.75</v>
      </c>
      <c r="J29" s="23">
        <f>SUM(J7:J28)</f>
        <v>197230.13</v>
      </c>
    </row>
    <row r="30" spans="1:10" ht="10.7" customHeight="1" x14ac:dyDescent="0.15">
      <c r="A30" s="24" t="s">
        <v>50</v>
      </c>
      <c r="B30" s="24"/>
      <c r="C30" s="24"/>
      <c r="D30" s="25"/>
      <c r="E30" s="25"/>
      <c r="F30" s="26"/>
      <c r="G30" s="10"/>
      <c r="H30" s="11"/>
      <c r="I30" s="11"/>
      <c r="J30" s="11"/>
    </row>
    <row r="31" spans="1:10" ht="10.7" customHeight="1" x14ac:dyDescent="0.15">
      <c r="A31" s="17" t="s">
        <v>51</v>
      </c>
      <c r="B31" s="17" t="s">
        <v>52</v>
      </c>
      <c r="C31" s="17" t="s">
        <v>53</v>
      </c>
      <c r="D31" s="18">
        <v>0</v>
      </c>
      <c r="E31" s="18">
        <v>0</v>
      </c>
      <c r="F31" s="14">
        <v>0</v>
      </c>
      <c r="G31" s="15">
        <v>0</v>
      </c>
      <c r="H31" s="16">
        <v>0</v>
      </c>
      <c r="I31" s="16">
        <v>0</v>
      </c>
      <c r="J31" s="16">
        <v>0</v>
      </c>
    </row>
    <row r="32" spans="1:10" ht="10.7" customHeight="1" x14ac:dyDescent="0.15">
      <c r="A32" s="17" t="s">
        <v>54</v>
      </c>
      <c r="B32" s="17" t="s">
        <v>55</v>
      </c>
      <c r="C32" s="17" t="s">
        <v>3</v>
      </c>
      <c r="D32" s="18">
        <v>23</v>
      </c>
      <c r="E32" s="18">
        <v>0</v>
      </c>
      <c r="F32" s="14">
        <v>23</v>
      </c>
      <c r="G32" s="15">
        <v>0</v>
      </c>
      <c r="H32" s="16">
        <v>0</v>
      </c>
      <c r="I32" s="16">
        <v>4567.1099999999997</v>
      </c>
      <c r="J32" s="16">
        <v>0</v>
      </c>
    </row>
    <row r="33" spans="1:10" ht="10.7" customHeight="1" x14ac:dyDescent="0.15">
      <c r="A33" s="17" t="s">
        <v>56</v>
      </c>
      <c r="B33" s="17" t="s">
        <v>57</v>
      </c>
      <c r="C33" s="17" t="s">
        <v>58</v>
      </c>
      <c r="D33" s="18">
        <v>0</v>
      </c>
      <c r="E33" s="18">
        <v>0</v>
      </c>
      <c r="F33" s="14">
        <v>0</v>
      </c>
      <c r="G33" s="15">
        <v>0</v>
      </c>
      <c r="H33" s="16">
        <v>0</v>
      </c>
      <c r="I33" s="16">
        <v>0</v>
      </c>
      <c r="J33" s="16">
        <v>0</v>
      </c>
    </row>
    <row r="34" spans="1:10" ht="10.7" customHeight="1" x14ac:dyDescent="0.15">
      <c r="A34" s="19" t="s">
        <v>59</v>
      </c>
      <c r="B34" s="19"/>
      <c r="C34" s="19"/>
      <c r="D34" s="20">
        <v>3516.47</v>
      </c>
      <c r="E34" s="20"/>
      <c r="F34" s="21"/>
      <c r="G34" s="22"/>
      <c r="H34" s="23">
        <f>SUM(H31:H33)</f>
        <v>0</v>
      </c>
      <c r="I34" s="23">
        <f>SUM(I31:I33)</f>
        <v>4567.1099999999997</v>
      </c>
      <c r="J34" s="23">
        <f>SUM(J31:J33)</f>
        <v>0</v>
      </c>
    </row>
    <row r="35" spans="1:10" ht="10.7" customHeight="1" x14ac:dyDescent="0.15">
      <c r="A35" s="24" t="s">
        <v>60</v>
      </c>
      <c r="B35" s="24"/>
      <c r="C35" s="24"/>
      <c r="D35" s="25"/>
      <c r="E35" s="25"/>
      <c r="F35" s="26"/>
      <c r="G35" s="10"/>
      <c r="H35" s="11"/>
      <c r="I35" s="11"/>
      <c r="J35" s="11"/>
    </row>
    <row r="36" spans="1:10" ht="10.7" customHeight="1" x14ac:dyDescent="0.15">
      <c r="A36" s="17" t="s">
        <v>61</v>
      </c>
      <c r="B36" s="17" t="s">
        <v>62</v>
      </c>
      <c r="C36" s="17" t="s">
        <v>3</v>
      </c>
      <c r="D36" s="18">
        <v>30</v>
      </c>
      <c r="E36" s="18">
        <v>0</v>
      </c>
      <c r="F36" s="14">
        <v>30</v>
      </c>
      <c r="G36" s="15">
        <v>0</v>
      </c>
      <c r="H36" s="16">
        <v>0</v>
      </c>
      <c r="I36" s="16">
        <v>6618.9</v>
      </c>
      <c r="J36" s="16">
        <v>0</v>
      </c>
    </row>
    <row r="37" spans="1:10" ht="10.7" customHeight="1" x14ac:dyDescent="0.15">
      <c r="A37" s="17" t="s">
        <v>63</v>
      </c>
      <c r="B37" s="17" t="s">
        <v>64</v>
      </c>
      <c r="C37" s="17" t="s">
        <v>3</v>
      </c>
      <c r="D37" s="18">
        <v>80</v>
      </c>
      <c r="E37" s="18">
        <v>0</v>
      </c>
      <c r="F37" s="14">
        <v>28</v>
      </c>
      <c r="G37" s="15">
        <v>52</v>
      </c>
      <c r="H37" s="16">
        <v>0</v>
      </c>
      <c r="I37" s="16">
        <v>5621.04</v>
      </c>
      <c r="J37" s="16">
        <v>10060.799999999999</v>
      </c>
    </row>
    <row r="38" spans="1:10" ht="10.7" customHeight="1" x14ac:dyDescent="0.15">
      <c r="A38" s="17" t="s">
        <v>65</v>
      </c>
      <c r="B38" s="17" t="s">
        <v>66</v>
      </c>
      <c r="C38" s="17" t="s">
        <v>67</v>
      </c>
      <c r="D38" s="18">
        <v>103</v>
      </c>
      <c r="E38" s="18">
        <v>0</v>
      </c>
      <c r="F38" s="14">
        <v>40</v>
      </c>
      <c r="G38" s="15">
        <v>63</v>
      </c>
      <c r="H38" s="16">
        <v>0</v>
      </c>
      <c r="I38" s="16">
        <v>5280.94</v>
      </c>
      <c r="J38" s="16">
        <v>9257.6</v>
      </c>
    </row>
    <row r="39" spans="1:10" ht="10.7" customHeight="1" x14ac:dyDescent="0.15">
      <c r="A39" s="17" t="s">
        <v>68</v>
      </c>
      <c r="B39" s="17" t="s">
        <v>69</v>
      </c>
      <c r="C39" s="17" t="s">
        <v>3</v>
      </c>
      <c r="D39" s="18">
        <v>3</v>
      </c>
      <c r="E39" s="18">
        <v>0</v>
      </c>
      <c r="F39" s="14">
        <v>2</v>
      </c>
      <c r="G39" s="15">
        <v>1</v>
      </c>
      <c r="H39" s="16">
        <v>0</v>
      </c>
      <c r="I39" s="16">
        <v>264.77999999999997</v>
      </c>
      <c r="J39" s="16">
        <v>132.38999999999999</v>
      </c>
    </row>
    <row r="40" spans="1:10" ht="10.7" customHeight="1" x14ac:dyDescent="0.15">
      <c r="A40" s="19" t="s">
        <v>70</v>
      </c>
      <c r="B40" s="19"/>
      <c r="C40" s="19"/>
      <c r="D40" s="20">
        <v>29335.119999999999</v>
      </c>
      <c r="E40" s="20"/>
      <c r="F40" s="21"/>
      <c r="G40" s="22"/>
      <c r="H40" s="23">
        <f>SUM(H36:H39)</f>
        <v>0</v>
      </c>
      <c r="I40" s="23">
        <f>SUM(I36:I39)</f>
        <v>17785.659999999996</v>
      </c>
      <c r="J40" s="23">
        <f>SUM(J36:J39)</f>
        <v>19450.79</v>
      </c>
    </row>
    <row r="41" spans="1:10" ht="10.7" customHeight="1" x14ac:dyDescent="0.15">
      <c r="A41" s="24" t="s">
        <v>71</v>
      </c>
      <c r="B41" s="24"/>
      <c r="C41" s="24"/>
      <c r="D41" s="25"/>
      <c r="E41" s="25"/>
      <c r="F41" s="26"/>
      <c r="G41" s="10"/>
      <c r="H41" s="11"/>
      <c r="I41" s="11"/>
      <c r="J41" s="11"/>
    </row>
    <row r="42" spans="1:10" ht="10.7" customHeight="1" x14ac:dyDescent="0.15">
      <c r="A42" s="17" t="s">
        <v>72</v>
      </c>
      <c r="B42" s="17" t="s">
        <v>7</v>
      </c>
      <c r="C42" s="17" t="s">
        <v>73</v>
      </c>
      <c r="D42" s="18">
        <v>22</v>
      </c>
      <c r="E42" s="18">
        <v>0</v>
      </c>
      <c r="F42" s="14">
        <v>10</v>
      </c>
      <c r="G42" s="15">
        <v>12</v>
      </c>
      <c r="H42" s="16">
        <v>0</v>
      </c>
      <c r="I42" s="16">
        <v>3364.6</v>
      </c>
      <c r="J42" s="16">
        <v>4037.52</v>
      </c>
    </row>
    <row r="43" spans="1:10" ht="10.7" customHeight="1" x14ac:dyDescent="0.15">
      <c r="A43" s="17" t="s">
        <v>74</v>
      </c>
      <c r="B43" s="17" t="s">
        <v>75</v>
      </c>
      <c r="C43" s="17" t="s">
        <v>53</v>
      </c>
      <c r="D43" s="18">
        <v>15</v>
      </c>
      <c r="E43" s="18">
        <v>0</v>
      </c>
      <c r="F43" s="14">
        <v>8</v>
      </c>
      <c r="G43" s="15">
        <v>7</v>
      </c>
      <c r="H43" s="16">
        <v>0</v>
      </c>
      <c r="I43" s="16">
        <v>907.76</v>
      </c>
      <c r="J43" s="16">
        <v>794.29</v>
      </c>
    </row>
    <row r="44" spans="1:10" ht="10.7" customHeight="1" x14ac:dyDescent="0.15">
      <c r="A44" s="19" t="s">
        <v>76</v>
      </c>
      <c r="B44" s="19"/>
      <c r="C44" s="19"/>
      <c r="D44" s="20">
        <v>7293.94</v>
      </c>
      <c r="E44" s="20"/>
      <c r="F44" s="21"/>
      <c r="G44" s="22"/>
      <c r="H44" s="23">
        <f>SUM(H42:H43)</f>
        <v>0</v>
      </c>
      <c r="I44" s="23">
        <f>SUM(I42:I43)</f>
        <v>4272.3599999999997</v>
      </c>
      <c r="J44" s="23">
        <f>SUM(J42:J43)</f>
        <v>4831.8099999999995</v>
      </c>
    </row>
    <row r="45" spans="1:10" ht="10.7" customHeight="1" x14ac:dyDescent="0.15">
      <c r="A45" s="24" t="s">
        <v>77</v>
      </c>
      <c r="B45" s="24"/>
      <c r="C45" s="24"/>
      <c r="D45" s="25"/>
      <c r="E45" s="25"/>
      <c r="F45" s="26"/>
      <c r="G45" s="10"/>
      <c r="H45" s="11"/>
      <c r="I45" s="11"/>
      <c r="J45" s="11"/>
    </row>
    <row r="46" spans="1:10" ht="10.7" customHeight="1" x14ac:dyDescent="0.15">
      <c r="A46" s="17" t="s">
        <v>78</v>
      </c>
      <c r="B46" s="17" t="s">
        <v>79</v>
      </c>
      <c r="C46" s="17" t="s">
        <v>80</v>
      </c>
      <c r="D46" s="18">
        <v>65</v>
      </c>
      <c r="E46" s="18">
        <v>0</v>
      </c>
      <c r="F46" s="14">
        <v>19</v>
      </c>
      <c r="G46" s="15">
        <v>46</v>
      </c>
      <c r="H46" s="16">
        <v>0</v>
      </c>
      <c r="I46" s="16">
        <v>2962.67</v>
      </c>
      <c r="J46" s="16">
        <v>7172.48</v>
      </c>
    </row>
    <row r="47" spans="1:10" ht="10.7" customHeight="1" x14ac:dyDescent="0.15">
      <c r="A47" s="17" t="s">
        <v>81</v>
      </c>
      <c r="B47" s="17" t="s">
        <v>82</v>
      </c>
      <c r="C47" s="17" t="s">
        <v>83</v>
      </c>
      <c r="D47" s="18">
        <v>23</v>
      </c>
      <c r="E47" s="18">
        <v>0</v>
      </c>
      <c r="F47" s="14">
        <v>5</v>
      </c>
      <c r="G47" s="15">
        <v>18</v>
      </c>
      <c r="H47" s="16">
        <v>0</v>
      </c>
      <c r="I47" s="16">
        <v>898.3</v>
      </c>
      <c r="J47" s="16">
        <v>3233.88</v>
      </c>
    </row>
    <row r="48" spans="1:10" ht="10.7" customHeight="1" x14ac:dyDescent="0.15">
      <c r="A48" s="17" t="s">
        <v>84</v>
      </c>
      <c r="B48" s="17" t="s">
        <v>85</v>
      </c>
      <c r="C48" s="17" t="s">
        <v>80</v>
      </c>
      <c r="D48" s="18">
        <v>0</v>
      </c>
      <c r="E48" s="18">
        <v>0</v>
      </c>
      <c r="F48" s="14">
        <v>0</v>
      </c>
      <c r="G48" s="15">
        <v>0</v>
      </c>
      <c r="H48" s="16">
        <v>0</v>
      </c>
      <c r="I48" s="16">
        <v>0</v>
      </c>
      <c r="J48" s="16">
        <v>0</v>
      </c>
    </row>
    <row r="49" spans="1:10" ht="10.7" customHeight="1" x14ac:dyDescent="0.15">
      <c r="A49" s="17" t="s">
        <v>86</v>
      </c>
      <c r="B49" s="17" t="s">
        <v>85</v>
      </c>
      <c r="C49" s="17" t="s">
        <v>10</v>
      </c>
      <c r="D49" s="18">
        <v>24</v>
      </c>
      <c r="E49" s="18">
        <v>0</v>
      </c>
      <c r="F49" s="14">
        <v>24</v>
      </c>
      <c r="G49" s="15">
        <v>0</v>
      </c>
      <c r="H49" s="16">
        <v>0</v>
      </c>
      <c r="I49" s="16">
        <v>15052.32</v>
      </c>
      <c r="J49" s="16">
        <v>0</v>
      </c>
    </row>
    <row r="50" spans="1:10" ht="10.7" customHeight="1" x14ac:dyDescent="0.15">
      <c r="A50" s="17" t="s">
        <v>87</v>
      </c>
      <c r="B50" s="17" t="s">
        <v>88</v>
      </c>
      <c r="C50" s="17" t="s">
        <v>10</v>
      </c>
      <c r="D50" s="18">
        <v>23</v>
      </c>
      <c r="E50" s="18">
        <v>0</v>
      </c>
      <c r="F50" s="14">
        <v>3</v>
      </c>
      <c r="G50" s="15">
        <v>20</v>
      </c>
      <c r="H50" s="16">
        <v>0</v>
      </c>
      <c r="I50" s="16">
        <v>1881.54</v>
      </c>
      <c r="J50" s="16">
        <v>12543.6</v>
      </c>
    </row>
    <row r="51" spans="1:10" ht="10.7" customHeight="1" x14ac:dyDescent="0.15">
      <c r="A51" s="17" t="s">
        <v>89</v>
      </c>
      <c r="B51" s="17" t="s">
        <v>90</v>
      </c>
      <c r="C51" s="17" t="s">
        <v>10</v>
      </c>
      <c r="D51" s="18">
        <v>0</v>
      </c>
      <c r="E51" s="18">
        <v>0</v>
      </c>
      <c r="F51" s="14">
        <v>0</v>
      </c>
      <c r="G51" s="15">
        <v>0</v>
      </c>
      <c r="H51" s="16">
        <v>0</v>
      </c>
      <c r="I51" s="16">
        <v>0</v>
      </c>
      <c r="J51" s="16">
        <v>0</v>
      </c>
    </row>
    <row r="52" spans="1:10" ht="10.7" customHeight="1" x14ac:dyDescent="0.15">
      <c r="A52" s="17" t="s">
        <v>91</v>
      </c>
      <c r="B52" s="17" t="s">
        <v>92</v>
      </c>
      <c r="C52" s="17" t="s">
        <v>10</v>
      </c>
      <c r="D52" s="18">
        <v>0</v>
      </c>
      <c r="E52" s="18">
        <v>0</v>
      </c>
      <c r="F52" s="14">
        <v>0</v>
      </c>
      <c r="G52" s="15">
        <v>0</v>
      </c>
      <c r="H52" s="16">
        <v>0</v>
      </c>
      <c r="I52" s="16">
        <v>0</v>
      </c>
      <c r="J52" s="16">
        <v>0</v>
      </c>
    </row>
    <row r="53" spans="1:10" ht="10.7" customHeight="1" x14ac:dyDescent="0.15">
      <c r="A53" s="17" t="s">
        <v>93</v>
      </c>
      <c r="B53" s="17" t="s">
        <v>94</v>
      </c>
      <c r="C53" s="17" t="s">
        <v>10</v>
      </c>
      <c r="D53" s="18">
        <v>0</v>
      </c>
      <c r="E53" s="18">
        <v>0</v>
      </c>
      <c r="F53" s="14">
        <v>0</v>
      </c>
      <c r="G53" s="15">
        <v>0</v>
      </c>
      <c r="H53" s="16">
        <v>0</v>
      </c>
      <c r="I53" s="16">
        <v>0</v>
      </c>
      <c r="J53" s="16">
        <v>0</v>
      </c>
    </row>
    <row r="54" spans="1:10" ht="10.7" customHeight="1" x14ac:dyDescent="0.15">
      <c r="A54" s="17" t="s">
        <v>95</v>
      </c>
      <c r="B54" s="17" t="s">
        <v>96</v>
      </c>
      <c r="C54" s="17" t="s">
        <v>83</v>
      </c>
      <c r="D54" s="18">
        <v>0</v>
      </c>
      <c r="E54" s="18">
        <v>0</v>
      </c>
      <c r="F54" s="14">
        <v>0</v>
      </c>
      <c r="G54" s="15">
        <v>0</v>
      </c>
      <c r="H54" s="16">
        <v>0</v>
      </c>
      <c r="I54" s="16">
        <v>0</v>
      </c>
      <c r="J54" s="16">
        <v>0</v>
      </c>
    </row>
    <row r="55" spans="1:10" ht="10.7" customHeight="1" x14ac:dyDescent="0.15">
      <c r="A55" s="17" t="s">
        <v>97</v>
      </c>
      <c r="B55" s="17" t="s">
        <v>98</v>
      </c>
      <c r="C55" s="17" t="s">
        <v>10</v>
      </c>
      <c r="D55" s="18">
        <v>0</v>
      </c>
      <c r="E55" s="18">
        <v>0</v>
      </c>
      <c r="F55" s="14">
        <v>0</v>
      </c>
      <c r="G55" s="15">
        <v>0</v>
      </c>
      <c r="H55" s="16">
        <v>0</v>
      </c>
      <c r="I55" s="16">
        <v>0</v>
      </c>
      <c r="J55" s="16">
        <v>0</v>
      </c>
    </row>
    <row r="56" spans="1:10" ht="10.7" customHeight="1" x14ac:dyDescent="0.15">
      <c r="A56" s="17" t="s">
        <v>99</v>
      </c>
      <c r="B56" s="17" t="s">
        <v>100</v>
      </c>
      <c r="C56" s="17" t="s">
        <v>83</v>
      </c>
      <c r="D56" s="18">
        <v>57</v>
      </c>
      <c r="E56" s="18">
        <v>0</v>
      </c>
      <c r="F56" s="14">
        <v>49</v>
      </c>
      <c r="G56" s="15">
        <v>8</v>
      </c>
      <c r="H56" s="16">
        <v>0</v>
      </c>
      <c r="I56" s="16">
        <v>8649.48</v>
      </c>
      <c r="J56" s="16">
        <v>1412.11</v>
      </c>
    </row>
    <row r="57" spans="1:10" ht="10.7" customHeight="1" x14ac:dyDescent="0.15">
      <c r="A57" s="19" t="s">
        <v>101</v>
      </c>
      <c r="B57" s="19"/>
      <c r="C57" s="19"/>
      <c r="D57" s="20">
        <v>46383.75</v>
      </c>
      <c r="E57" s="20"/>
      <c r="F57" s="21"/>
      <c r="G57" s="22"/>
      <c r="H57" s="23">
        <f>SUM(H46:H56)</f>
        <v>0</v>
      </c>
      <c r="I57" s="23">
        <f>SUM(I46:I56)</f>
        <v>29444.31</v>
      </c>
      <c r="J57" s="23">
        <f>SUM(J46:J56)</f>
        <v>24362.07</v>
      </c>
    </row>
    <row r="58" spans="1:10" ht="10.7" customHeight="1" x14ac:dyDescent="0.15">
      <c r="A58" s="24" t="s">
        <v>102</v>
      </c>
      <c r="B58" s="24"/>
      <c r="C58" s="24"/>
      <c r="D58" s="25"/>
      <c r="E58" s="25"/>
      <c r="F58" s="26"/>
      <c r="G58" s="10"/>
      <c r="H58" s="11"/>
      <c r="I58" s="11"/>
      <c r="J58" s="11"/>
    </row>
    <row r="59" spans="1:10" ht="10.7" customHeight="1" x14ac:dyDescent="0.15">
      <c r="A59" s="17" t="s">
        <v>103</v>
      </c>
      <c r="B59" s="17" t="s">
        <v>104</v>
      </c>
      <c r="C59" s="17" t="s">
        <v>83</v>
      </c>
      <c r="D59" s="18">
        <v>0</v>
      </c>
      <c r="E59" s="18">
        <v>0</v>
      </c>
      <c r="F59" s="14">
        <v>0</v>
      </c>
      <c r="G59" s="15">
        <v>0</v>
      </c>
      <c r="H59" s="16">
        <v>0</v>
      </c>
      <c r="I59" s="16">
        <v>0</v>
      </c>
      <c r="J59" s="16">
        <v>0</v>
      </c>
    </row>
    <row r="60" spans="1:10" ht="10.7" customHeight="1" x14ac:dyDescent="0.15">
      <c r="A60" s="19" t="s">
        <v>105</v>
      </c>
      <c r="B60" s="19"/>
      <c r="C60" s="19"/>
      <c r="D60" s="20">
        <v>0</v>
      </c>
      <c r="E60" s="20"/>
      <c r="F60" s="21"/>
      <c r="G60" s="22"/>
      <c r="H60" s="23">
        <f>SUM(H59:H59)</f>
        <v>0</v>
      </c>
      <c r="I60" s="23">
        <f>SUM(I59:I59)</f>
        <v>0</v>
      </c>
      <c r="J60" s="23">
        <f>SUM(J59:J59)</f>
        <v>0</v>
      </c>
    </row>
    <row r="61" spans="1:10" ht="10.7" customHeight="1" x14ac:dyDescent="0.15">
      <c r="A61" s="24" t="s">
        <v>106</v>
      </c>
      <c r="B61" s="24"/>
      <c r="C61" s="24"/>
      <c r="D61" s="25"/>
      <c r="E61" s="25"/>
      <c r="F61" s="26"/>
      <c r="G61" s="10"/>
      <c r="H61" s="11"/>
      <c r="I61" s="11"/>
      <c r="J61" s="11"/>
    </row>
    <row r="62" spans="1:10" ht="10.7" customHeight="1" x14ac:dyDescent="0.15">
      <c r="A62" s="17" t="s">
        <v>107</v>
      </c>
      <c r="B62" s="17" t="s">
        <v>108</v>
      </c>
      <c r="C62" s="17" t="s">
        <v>109</v>
      </c>
      <c r="D62" s="18">
        <v>0</v>
      </c>
      <c r="E62" s="18">
        <v>0</v>
      </c>
      <c r="F62" s="14">
        <v>0</v>
      </c>
      <c r="G62" s="15">
        <v>0</v>
      </c>
      <c r="H62" s="16">
        <v>0</v>
      </c>
      <c r="I62" s="16">
        <v>0</v>
      </c>
      <c r="J62" s="16">
        <v>0</v>
      </c>
    </row>
    <row r="63" spans="1:10" ht="10.7" customHeight="1" x14ac:dyDescent="0.15">
      <c r="A63" s="17" t="s">
        <v>110</v>
      </c>
      <c r="B63" s="17" t="s">
        <v>111</v>
      </c>
      <c r="C63" s="17" t="s">
        <v>112</v>
      </c>
      <c r="D63" s="18">
        <v>22</v>
      </c>
      <c r="E63" s="18">
        <v>0</v>
      </c>
      <c r="F63" s="14">
        <v>15</v>
      </c>
      <c r="G63" s="15">
        <v>7</v>
      </c>
      <c r="H63" s="16">
        <v>0</v>
      </c>
      <c r="I63" s="16">
        <v>1945.2</v>
      </c>
      <c r="J63" s="16">
        <v>907.76</v>
      </c>
    </row>
    <row r="64" spans="1:10" ht="10.7" customHeight="1" x14ac:dyDescent="0.15">
      <c r="A64" s="17" t="s">
        <v>113</v>
      </c>
      <c r="B64" s="17" t="s">
        <v>114</v>
      </c>
      <c r="C64" s="17" t="s">
        <v>112</v>
      </c>
      <c r="D64" s="18">
        <v>0</v>
      </c>
      <c r="E64" s="18">
        <v>0</v>
      </c>
      <c r="F64" s="14">
        <v>0</v>
      </c>
      <c r="G64" s="15">
        <v>0</v>
      </c>
      <c r="H64" s="16">
        <v>0</v>
      </c>
      <c r="I64" s="16">
        <v>0</v>
      </c>
      <c r="J64" s="16">
        <v>0</v>
      </c>
    </row>
    <row r="65" spans="1:10" ht="10.7" customHeight="1" x14ac:dyDescent="0.15">
      <c r="A65" s="19" t="s">
        <v>115</v>
      </c>
      <c r="B65" s="19"/>
      <c r="C65" s="19"/>
      <c r="D65" s="20">
        <v>2145.2199999999998</v>
      </c>
      <c r="E65" s="20"/>
      <c r="F65" s="21"/>
      <c r="G65" s="22"/>
      <c r="H65" s="23">
        <f>SUM(H62:H64)</f>
        <v>0</v>
      </c>
      <c r="I65" s="23">
        <f>SUM(I62:I64)</f>
        <v>1945.2</v>
      </c>
      <c r="J65" s="23">
        <f>SUM(J62:J64)</f>
        <v>907.76</v>
      </c>
    </row>
    <row r="66" spans="1:10" ht="10.7" customHeight="1" x14ac:dyDescent="0.15">
      <c r="A66" s="24" t="s">
        <v>116</v>
      </c>
      <c r="B66" s="24"/>
      <c r="C66" s="24"/>
      <c r="D66" s="25"/>
      <c r="E66" s="25"/>
      <c r="F66" s="26"/>
      <c r="G66" s="10"/>
      <c r="H66" s="11"/>
      <c r="I66" s="11"/>
      <c r="J66" s="11"/>
    </row>
    <row r="67" spans="1:10" ht="10.7" customHeight="1" x14ac:dyDescent="0.15">
      <c r="A67" s="17" t="s">
        <v>117</v>
      </c>
      <c r="B67" s="17" t="s">
        <v>118</v>
      </c>
      <c r="C67" s="17" t="s">
        <v>3</v>
      </c>
      <c r="D67" s="18">
        <v>31</v>
      </c>
      <c r="E67" s="18">
        <v>0</v>
      </c>
      <c r="F67" s="14">
        <v>27</v>
      </c>
      <c r="G67" s="15">
        <v>4</v>
      </c>
      <c r="H67" s="16">
        <v>0</v>
      </c>
      <c r="I67" s="16">
        <v>5197.2299999999996</v>
      </c>
      <c r="J67" s="16">
        <v>769.96</v>
      </c>
    </row>
    <row r="68" spans="1:10" ht="10.7" customHeight="1" x14ac:dyDescent="0.15">
      <c r="A68" s="17" t="s">
        <v>119</v>
      </c>
      <c r="B68" s="17" t="s">
        <v>120</v>
      </c>
      <c r="C68" s="17" t="s">
        <v>3</v>
      </c>
      <c r="D68" s="18">
        <v>19</v>
      </c>
      <c r="E68" s="18">
        <v>0</v>
      </c>
      <c r="F68" s="14">
        <v>19</v>
      </c>
      <c r="G68" s="15">
        <v>0</v>
      </c>
      <c r="H68" s="16">
        <v>0</v>
      </c>
      <c r="I68" s="16">
        <v>2339.4699999999998</v>
      </c>
      <c r="J68" s="16">
        <v>0</v>
      </c>
    </row>
    <row r="69" spans="1:10" ht="10.7" customHeight="1" x14ac:dyDescent="0.15">
      <c r="A69" s="17" t="s">
        <v>121</v>
      </c>
      <c r="B69" s="17" t="s">
        <v>122</v>
      </c>
      <c r="C69" s="17" t="s">
        <v>3</v>
      </c>
      <c r="D69" s="18">
        <v>35</v>
      </c>
      <c r="E69" s="18">
        <v>0</v>
      </c>
      <c r="F69" s="14">
        <v>6</v>
      </c>
      <c r="G69" s="15">
        <v>29</v>
      </c>
      <c r="H69" s="16">
        <v>0</v>
      </c>
      <c r="I69" s="16">
        <v>1221.96</v>
      </c>
      <c r="J69" s="16">
        <v>5906.14</v>
      </c>
    </row>
    <row r="70" spans="1:10" ht="10.7" customHeight="1" x14ac:dyDescent="0.15">
      <c r="A70" s="19" t="s">
        <v>123</v>
      </c>
      <c r="B70" s="19"/>
      <c r="C70" s="19"/>
      <c r="D70" s="20">
        <v>12238.52</v>
      </c>
      <c r="E70" s="20"/>
      <c r="F70" s="21"/>
      <c r="G70" s="22"/>
      <c r="H70" s="23">
        <f>SUM(H67:H69)</f>
        <v>0</v>
      </c>
      <c r="I70" s="23">
        <f>SUM(I67:I69)</f>
        <v>8758.66</v>
      </c>
      <c r="J70" s="23">
        <f>SUM(J67:J69)</f>
        <v>6676.1</v>
      </c>
    </row>
    <row r="71" spans="1:10" ht="10.7" customHeight="1" x14ac:dyDescent="0.15">
      <c r="A71" s="24" t="s">
        <v>124</v>
      </c>
      <c r="B71" s="24"/>
      <c r="C71" s="24"/>
      <c r="D71" s="25"/>
      <c r="E71" s="25"/>
      <c r="F71" s="26"/>
      <c r="G71" s="10"/>
      <c r="H71" s="11"/>
      <c r="I71" s="11"/>
      <c r="J71" s="11"/>
    </row>
    <row r="72" spans="1:10" ht="10.7" customHeight="1" x14ac:dyDescent="0.15">
      <c r="A72" s="17" t="s">
        <v>125</v>
      </c>
      <c r="B72" s="17" t="s">
        <v>126</v>
      </c>
      <c r="C72" s="17" t="s">
        <v>53</v>
      </c>
      <c r="D72" s="18">
        <v>159</v>
      </c>
      <c r="E72" s="18">
        <v>0</v>
      </c>
      <c r="F72" s="14">
        <v>158</v>
      </c>
      <c r="G72" s="15">
        <v>1</v>
      </c>
      <c r="H72" s="16">
        <v>0</v>
      </c>
      <c r="I72" s="16">
        <v>20065.400000000001</v>
      </c>
      <c r="J72" s="16">
        <v>139.13999999999999</v>
      </c>
    </row>
    <row r="73" spans="1:10" ht="10.7" customHeight="1" x14ac:dyDescent="0.15">
      <c r="A73" s="17" t="s">
        <v>127</v>
      </c>
      <c r="B73" s="17" t="s">
        <v>128</v>
      </c>
      <c r="C73" s="17" t="s">
        <v>3</v>
      </c>
      <c r="D73" s="18">
        <v>0</v>
      </c>
      <c r="E73" s="18">
        <v>0</v>
      </c>
      <c r="F73" s="14">
        <v>0</v>
      </c>
      <c r="G73" s="15">
        <v>0</v>
      </c>
      <c r="H73" s="16">
        <v>0</v>
      </c>
      <c r="I73" s="16">
        <v>0</v>
      </c>
      <c r="J73" s="16">
        <v>0</v>
      </c>
    </row>
    <row r="74" spans="1:10" ht="10.7" customHeight="1" x14ac:dyDescent="0.15">
      <c r="A74" s="17" t="s">
        <v>129</v>
      </c>
      <c r="B74" s="17" t="s">
        <v>130</v>
      </c>
      <c r="C74" s="17" t="s">
        <v>10</v>
      </c>
      <c r="D74" s="18">
        <v>60</v>
      </c>
      <c r="E74" s="18">
        <v>0</v>
      </c>
      <c r="F74" s="14">
        <v>17</v>
      </c>
      <c r="G74" s="15">
        <v>43</v>
      </c>
      <c r="H74" s="16">
        <v>0</v>
      </c>
      <c r="I74" s="16">
        <v>3462.22</v>
      </c>
      <c r="J74" s="16">
        <v>8757.3799999999992</v>
      </c>
    </row>
    <row r="75" spans="1:10" ht="10.7" customHeight="1" x14ac:dyDescent="0.15">
      <c r="A75" s="17" t="s">
        <v>131</v>
      </c>
      <c r="B75" s="17" t="s">
        <v>132</v>
      </c>
      <c r="C75" s="17" t="s">
        <v>3</v>
      </c>
      <c r="D75" s="18">
        <v>149</v>
      </c>
      <c r="E75" s="18">
        <v>180</v>
      </c>
      <c r="F75" s="14">
        <v>190</v>
      </c>
      <c r="G75" s="15">
        <v>139</v>
      </c>
      <c r="H75" s="16">
        <v>36658.800000000003</v>
      </c>
      <c r="I75" s="16">
        <v>37178.58</v>
      </c>
      <c r="J75" s="16">
        <v>28308.74</v>
      </c>
    </row>
    <row r="76" spans="1:10" ht="10.7" customHeight="1" x14ac:dyDescent="0.15">
      <c r="A76" s="17" t="s">
        <v>133</v>
      </c>
      <c r="B76" s="17" t="s">
        <v>134</v>
      </c>
      <c r="C76" s="17" t="s">
        <v>10</v>
      </c>
      <c r="D76" s="18">
        <v>27</v>
      </c>
      <c r="E76" s="18">
        <v>0</v>
      </c>
      <c r="F76" s="14">
        <v>14</v>
      </c>
      <c r="G76" s="15">
        <v>13</v>
      </c>
      <c r="H76" s="16">
        <v>0</v>
      </c>
      <c r="I76" s="16">
        <v>2651.74</v>
      </c>
      <c r="J76" s="16">
        <v>2462.25</v>
      </c>
    </row>
    <row r="77" spans="1:10" ht="10.7" customHeight="1" x14ac:dyDescent="0.15">
      <c r="A77" s="19" t="s">
        <v>135</v>
      </c>
      <c r="B77" s="19"/>
      <c r="C77" s="19"/>
      <c r="D77" s="20">
        <v>54936.77</v>
      </c>
      <c r="E77" s="20"/>
      <c r="F77" s="21"/>
      <c r="G77" s="22"/>
      <c r="H77" s="23">
        <f>SUM(H72:H76)</f>
        <v>36658.800000000003</v>
      </c>
      <c r="I77" s="23">
        <f>SUM(I72:I76)</f>
        <v>63357.94</v>
      </c>
      <c r="J77" s="23">
        <f>SUM(J72:J76)</f>
        <v>39667.51</v>
      </c>
    </row>
    <row r="78" spans="1:10" ht="10.7" customHeight="1" x14ac:dyDescent="0.15">
      <c r="A78" s="24" t="s">
        <v>136</v>
      </c>
      <c r="B78" s="24"/>
      <c r="C78" s="24"/>
      <c r="D78" s="25"/>
      <c r="E78" s="25"/>
      <c r="F78" s="26"/>
      <c r="G78" s="10"/>
      <c r="H78" s="11"/>
      <c r="I78" s="11"/>
      <c r="J78" s="11"/>
    </row>
    <row r="79" spans="1:10" ht="10.7" customHeight="1" x14ac:dyDescent="0.15">
      <c r="A79" s="17" t="s">
        <v>137</v>
      </c>
      <c r="B79" s="17" t="s">
        <v>138</v>
      </c>
      <c r="C79" s="17" t="s">
        <v>139</v>
      </c>
      <c r="D79" s="18">
        <v>46</v>
      </c>
      <c r="E79" s="18">
        <v>72</v>
      </c>
      <c r="F79" s="14">
        <v>45</v>
      </c>
      <c r="G79" s="15">
        <v>73</v>
      </c>
      <c r="H79" s="16">
        <v>4591.79</v>
      </c>
      <c r="I79" s="16">
        <v>2870.1</v>
      </c>
      <c r="J79" s="16">
        <v>4655.5600000000004</v>
      </c>
    </row>
    <row r="80" spans="1:10" ht="10.7" customHeight="1" x14ac:dyDescent="0.15">
      <c r="A80" s="19" t="s">
        <v>140</v>
      </c>
      <c r="B80" s="19"/>
      <c r="C80" s="19"/>
      <c r="D80" s="20">
        <v>2184.08</v>
      </c>
      <c r="E80" s="20"/>
      <c r="F80" s="21"/>
      <c r="G80" s="22"/>
      <c r="H80" s="23">
        <f>SUM(H79:H79)</f>
        <v>4591.79</v>
      </c>
      <c r="I80" s="23">
        <f>SUM(I79:I79)</f>
        <v>2870.1</v>
      </c>
      <c r="J80" s="23">
        <f>SUM(J79:J79)</f>
        <v>4655.5600000000004</v>
      </c>
    </row>
    <row r="81" spans="1:10" ht="10.7" customHeight="1" x14ac:dyDescent="0.15">
      <c r="A81" s="24" t="s">
        <v>141</v>
      </c>
      <c r="B81" s="24"/>
      <c r="C81" s="24"/>
      <c r="D81" s="25"/>
      <c r="E81" s="25"/>
      <c r="F81" s="26"/>
      <c r="G81" s="10"/>
      <c r="H81" s="11"/>
      <c r="I81" s="11"/>
      <c r="J81" s="11"/>
    </row>
    <row r="82" spans="1:10" ht="10.7" customHeight="1" x14ac:dyDescent="0.15">
      <c r="A82" s="17" t="s">
        <v>142</v>
      </c>
      <c r="B82" s="17" t="s">
        <v>143</v>
      </c>
      <c r="C82" s="17" t="s">
        <v>144</v>
      </c>
      <c r="D82" s="18">
        <v>47</v>
      </c>
      <c r="E82" s="18">
        <v>0</v>
      </c>
      <c r="F82" s="14">
        <v>11</v>
      </c>
      <c r="G82" s="15">
        <v>36</v>
      </c>
      <c r="H82" s="16">
        <v>0</v>
      </c>
      <c r="I82" s="16">
        <v>1130.69</v>
      </c>
      <c r="J82" s="16">
        <v>3700.1</v>
      </c>
    </row>
    <row r="83" spans="1:10" ht="10.7" customHeight="1" x14ac:dyDescent="0.15">
      <c r="A83" s="19" t="s">
        <v>145</v>
      </c>
      <c r="B83" s="19"/>
      <c r="C83" s="19"/>
      <c r="D83" s="20">
        <v>3547.56</v>
      </c>
      <c r="E83" s="20"/>
      <c r="F83" s="21"/>
      <c r="G83" s="22"/>
      <c r="H83" s="23">
        <f>SUM(H82:H82)</f>
        <v>0</v>
      </c>
      <c r="I83" s="23">
        <f>SUM(I82:I82)</f>
        <v>1130.69</v>
      </c>
      <c r="J83" s="23">
        <f>SUM(J82:J82)</f>
        <v>3700.1</v>
      </c>
    </row>
    <row r="84" spans="1:10" ht="10.7" customHeight="1" x14ac:dyDescent="0.15">
      <c r="A84" s="24" t="s">
        <v>146</v>
      </c>
      <c r="B84" s="24"/>
      <c r="C84" s="24"/>
      <c r="D84" s="25"/>
      <c r="E84" s="25"/>
      <c r="F84" s="26"/>
      <c r="G84" s="10"/>
      <c r="H84" s="11"/>
      <c r="I84" s="11"/>
      <c r="J84" s="11"/>
    </row>
    <row r="85" spans="1:10" ht="10.7" customHeight="1" x14ac:dyDescent="0.15">
      <c r="A85" s="17" t="s">
        <v>147</v>
      </c>
      <c r="B85" s="17" t="s">
        <v>148</v>
      </c>
      <c r="C85" s="17" t="s">
        <v>112</v>
      </c>
      <c r="D85" s="18">
        <v>20</v>
      </c>
      <c r="E85" s="18">
        <v>0</v>
      </c>
      <c r="F85" s="14">
        <v>8</v>
      </c>
      <c r="G85" s="15">
        <v>12</v>
      </c>
      <c r="H85" s="16">
        <v>0</v>
      </c>
      <c r="I85" s="16">
        <v>1527.68</v>
      </c>
      <c r="J85" s="16">
        <v>2291.48</v>
      </c>
    </row>
    <row r="86" spans="1:10" ht="10.7" customHeight="1" x14ac:dyDescent="0.15">
      <c r="A86" s="17" t="s">
        <v>149</v>
      </c>
      <c r="B86" s="17" t="s">
        <v>150</v>
      </c>
      <c r="C86" s="17" t="s">
        <v>151</v>
      </c>
      <c r="D86" s="18">
        <v>25</v>
      </c>
      <c r="E86" s="18">
        <v>0</v>
      </c>
      <c r="F86" s="14">
        <v>14</v>
      </c>
      <c r="G86" s="15">
        <v>11</v>
      </c>
      <c r="H86" s="16">
        <v>0</v>
      </c>
      <c r="I86" s="16">
        <v>1059.0999999999999</v>
      </c>
      <c r="J86" s="16">
        <v>832.15</v>
      </c>
    </row>
    <row r="87" spans="1:10" ht="10.7" customHeight="1" x14ac:dyDescent="0.15">
      <c r="A87" s="17" t="s">
        <v>152</v>
      </c>
      <c r="B87" s="17" t="s">
        <v>153</v>
      </c>
      <c r="C87" s="17" t="s">
        <v>112</v>
      </c>
      <c r="D87" s="18">
        <v>33</v>
      </c>
      <c r="E87" s="18">
        <v>0</v>
      </c>
      <c r="F87" s="14">
        <v>20</v>
      </c>
      <c r="G87" s="15">
        <v>13</v>
      </c>
      <c r="H87" s="16">
        <v>0</v>
      </c>
      <c r="I87" s="16">
        <v>1610.2</v>
      </c>
      <c r="J87" s="16">
        <v>1045.8800000000001</v>
      </c>
    </row>
    <row r="88" spans="1:10" ht="10.7" customHeight="1" x14ac:dyDescent="0.15">
      <c r="A88" s="19" t="s">
        <v>154</v>
      </c>
      <c r="B88" s="19"/>
      <c r="C88" s="19"/>
      <c r="D88" s="20">
        <v>6635.07</v>
      </c>
      <c r="E88" s="20"/>
      <c r="F88" s="21"/>
      <c r="G88" s="22"/>
      <c r="H88" s="23">
        <f>SUM(H85:H87)</f>
        <v>0</v>
      </c>
      <c r="I88" s="23">
        <f>SUM(I85:I87)</f>
        <v>4196.9799999999996</v>
      </c>
      <c r="J88" s="23">
        <f>SUM(J85:J87)</f>
        <v>4169.51</v>
      </c>
    </row>
    <row r="89" spans="1:10" ht="10.7" customHeight="1" x14ac:dyDescent="0.15">
      <c r="A89" s="24" t="s">
        <v>155</v>
      </c>
      <c r="B89" s="24"/>
      <c r="C89" s="24"/>
      <c r="D89" s="25"/>
      <c r="E89" s="25"/>
      <c r="F89" s="26"/>
      <c r="G89" s="10"/>
      <c r="H89" s="11"/>
      <c r="I89" s="11"/>
      <c r="J89" s="11"/>
    </row>
    <row r="90" spans="1:10" ht="10.7" customHeight="1" x14ac:dyDescent="0.15">
      <c r="A90" s="17" t="s">
        <v>156</v>
      </c>
      <c r="B90" s="17" t="s">
        <v>157</v>
      </c>
      <c r="C90" s="17" t="s">
        <v>158</v>
      </c>
      <c r="D90" s="18">
        <v>9</v>
      </c>
      <c r="E90" s="18">
        <v>12</v>
      </c>
      <c r="F90" s="14">
        <v>11</v>
      </c>
      <c r="G90" s="15">
        <v>10</v>
      </c>
      <c r="H90" s="16">
        <v>3193.56</v>
      </c>
      <c r="I90" s="16">
        <v>2927.43</v>
      </c>
      <c r="J90" s="16">
        <v>2661.3</v>
      </c>
    </row>
    <row r="91" spans="1:10" ht="10.7" customHeight="1" x14ac:dyDescent="0.15">
      <c r="A91" s="19" t="s">
        <v>159</v>
      </c>
      <c r="B91" s="19"/>
      <c r="C91" s="19"/>
      <c r="D91" s="20">
        <v>2395.17</v>
      </c>
      <c r="E91" s="20"/>
      <c r="F91" s="21"/>
      <c r="G91" s="22"/>
      <c r="H91" s="23">
        <f>SUM(H90:H90)</f>
        <v>3193.56</v>
      </c>
      <c r="I91" s="23">
        <f>SUM(I90:I90)</f>
        <v>2927.43</v>
      </c>
      <c r="J91" s="23">
        <f>SUM(J90:J90)</f>
        <v>2661.3</v>
      </c>
    </row>
    <row r="92" spans="1:10" ht="10.7" customHeight="1" x14ac:dyDescent="0.15">
      <c r="A92" s="24" t="s">
        <v>160</v>
      </c>
      <c r="B92" s="24"/>
      <c r="C92" s="24"/>
      <c r="D92" s="25"/>
      <c r="E92" s="25"/>
      <c r="F92" s="26"/>
      <c r="G92" s="10"/>
      <c r="H92" s="11"/>
      <c r="I92" s="11"/>
      <c r="J92" s="11"/>
    </row>
    <row r="93" spans="1:10" ht="10.7" customHeight="1" x14ac:dyDescent="0.15">
      <c r="A93" s="17" t="s">
        <v>161</v>
      </c>
      <c r="B93" s="17" t="s">
        <v>162</v>
      </c>
      <c r="C93" s="17" t="s">
        <v>163</v>
      </c>
      <c r="D93" s="18">
        <v>0</v>
      </c>
      <c r="E93" s="18">
        <v>0</v>
      </c>
      <c r="F93" s="14">
        <v>0</v>
      </c>
      <c r="G93" s="15">
        <v>0</v>
      </c>
      <c r="H93" s="16">
        <v>0</v>
      </c>
      <c r="I93" s="16">
        <v>0</v>
      </c>
      <c r="J93" s="16">
        <v>0</v>
      </c>
    </row>
    <row r="94" spans="1:10" ht="10.7" customHeight="1" x14ac:dyDescent="0.15">
      <c r="A94" s="17" t="s">
        <v>164</v>
      </c>
      <c r="B94" s="17" t="s">
        <v>165</v>
      </c>
      <c r="C94" s="17" t="s">
        <v>163</v>
      </c>
      <c r="D94" s="18">
        <v>0</v>
      </c>
      <c r="E94" s="18">
        <v>0</v>
      </c>
      <c r="F94" s="14">
        <v>0</v>
      </c>
      <c r="G94" s="15">
        <v>0</v>
      </c>
      <c r="H94" s="16">
        <v>0</v>
      </c>
      <c r="I94" s="16">
        <v>0</v>
      </c>
      <c r="J94" s="16">
        <v>0</v>
      </c>
    </row>
    <row r="95" spans="1:10" ht="10.7" customHeight="1" x14ac:dyDescent="0.15">
      <c r="A95" s="19" t="s">
        <v>166</v>
      </c>
      <c r="B95" s="19"/>
      <c r="C95" s="19"/>
      <c r="D95" s="20">
        <v>0</v>
      </c>
      <c r="E95" s="20"/>
      <c r="F95" s="21"/>
      <c r="G95" s="22"/>
      <c r="H95" s="23">
        <f>SUM(H93:H94)</f>
        <v>0</v>
      </c>
      <c r="I95" s="23">
        <f>SUM(I93:I94)</f>
        <v>0</v>
      </c>
      <c r="J95" s="23">
        <f>SUM(J93:J94)</f>
        <v>0</v>
      </c>
    </row>
    <row r="96" spans="1:10" ht="10.7" customHeight="1" x14ac:dyDescent="0.15">
      <c r="A96" s="24" t="s">
        <v>167</v>
      </c>
      <c r="B96" s="24"/>
      <c r="C96" s="24"/>
      <c r="D96" s="25"/>
      <c r="E96" s="25"/>
      <c r="F96" s="26"/>
      <c r="G96" s="10"/>
      <c r="H96" s="11"/>
      <c r="I96" s="11"/>
      <c r="J96" s="11"/>
    </row>
    <row r="97" spans="1:10" ht="10.7" customHeight="1" x14ac:dyDescent="0.15">
      <c r="A97" s="17" t="s">
        <v>168</v>
      </c>
      <c r="B97" s="17" t="s">
        <v>169</v>
      </c>
      <c r="C97" s="17" t="s">
        <v>144</v>
      </c>
      <c r="D97" s="18">
        <v>8</v>
      </c>
      <c r="E97" s="18">
        <v>28</v>
      </c>
      <c r="F97" s="14">
        <v>15</v>
      </c>
      <c r="G97" s="15">
        <v>21</v>
      </c>
      <c r="H97" s="16">
        <v>7034.1</v>
      </c>
      <c r="I97" s="16">
        <v>3736.56</v>
      </c>
      <c r="J97" s="16">
        <v>5265</v>
      </c>
    </row>
    <row r="98" spans="1:10" ht="10.7" customHeight="1" x14ac:dyDescent="0.15">
      <c r="A98" s="19" t="s">
        <v>170</v>
      </c>
      <c r="B98" s="19"/>
      <c r="C98" s="19"/>
      <c r="D98" s="20">
        <v>1457.76</v>
      </c>
      <c r="E98" s="20"/>
      <c r="F98" s="21"/>
      <c r="G98" s="22"/>
      <c r="H98" s="23">
        <f>SUM(H97:H97)</f>
        <v>7034.1</v>
      </c>
      <c r="I98" s="23">
        <f>SUM(I97:I97)</f>
        <v>3736.56</v>
      </c>
      <c r="J98" s="23">
        <f>SUM(J97:J97)</f>
        <v>5265</v>
      </c>
    </row>
    <row r="99" spans="1:10" ht="10.7" customHeight="1" x14ac:dyDescent="0.15">
      <c r="A99" s="24" t="s">
        <v>171</v>
      </c>
      <c r="B99" s="24"/>
      <c r="C99" s="24"/>
      <c r="D99" s="25"/>
      <c r="E99" s="25"/>
      <c r="F99" s="26"/>
      <c r="G99" s="10"/>
      <c r="H99" s="11"/>
      <c r="I99" s="11"/>
      <c r="J99" s="11"/>
    </row>
    <row r="100" spans="1:10" ht="10.7" customHeight="1" x14ac:dyDescent="0.15">
      <c r="A100" s="17" t="s">
        <v>172</v>
      </c>
      <c r="B100" s="17" t="s">
        <v>173</v>
      </c>
      <c r="C100" s="17" t="s">
        <v>174</v>
      </c>
      <c r="D100" s="18">
        <v>0</v>
      </c>
      <c r="E100" s="18">
        <v>0</v>
      </c>
      <c r="F100" s="14">
        <v>0</v>
      </c>
      <c r="G100" s="15">
        <v>0</v>
      </c>
      <c r="H100" s="16">
        <v>0</v>
      </c>
      <c r="I100" s="16">
        <v>0</v>
      </c>
      <c r="J100" s="16">
        <v>0</v>
      </c>
    </row>
    <row r="101" spans="1:10" ht="10.7" customHeight="1" x14ac:dyDescent="0.15">
      <c r="A101" s="19" t="s">
        <v>175</v>
      </c>
      <c r="B101" s="19"/>
      <c r="C101" s="19"/>
      <c r="D101" s="20">
        <v>0</v>
      </c>
      <c r="E101" s="20"/>
      <c r="F101" s="21"/>
      <c r="G101" s="22"/>
      <c r="H101" s="23">
        <f>SUM(H100:H100)</f>
        <v>0</v>
      </c>
      <c r="I101" s="23">
        <f>SUM(I100:I100)</f>
        <v>0</v>
      </c>
      <c r="J101" s="23">
        <f>SUM(J100:J100)</f>
        <v>0</v>
      </c>
    </row>
    <row r="102" spans="1:10" ht="10.7" customHeight="1" x14ac:dyDescent="0.15">
      <c r="A102" s="24" t="s">
        <v>176</v>
      </c>
      <c r="B102" s="24"/>
      <c r="C102" s="24"/>
      <c r="D102" s="25"/>
      <c r="E102" s="25"/>
      <c r="F102" s="26"/>
      <c r="G102" s="10"/>
      <c r="H102" s="11"/>
      <c r="I102" s="11"/>
      <c r="J102" s="11"/>
    </row>
    <row r="103" spans="1:10" ht="10.7" customHeight="1" x14ac:dyDescent="0.15">
      <c r="A103" s="17" t="s">
        <v>177</v>
      </c>
      <c r="B103" s="17" t="s">
        <v>178</v>
      </c>
      <c r="C103" s="17" t="s">
        <v>3</v>
      </c>
      <c r="D103" s="18">
        <v>137</v>
      </c>
      <c r="E103" s="18">
        <v>200</v>
      </c>
      <c r="F103" s="14">
        <v>103</v>
      </c>
      <c r="G103" s="15">
        <v>234</v>
      </c>
      <c r="H103" s="16">
        <v>31841.22</v>
      </c>
      <c r="I103" s="16">
        <v>16693.830000000002</v>
      </c>
      <c r="J103" s="16">
        <v>37451.19</v>
      </c>
    </row>
    <row r="104" spans="1:10" ht="10.7" customHeight="1" x14ac:dyDescent="0.15">
      <c r="A104" s="19" t="s">
        <v>179</v>
      </c>
      <c r="B104" s="19"/>
      <c r="C104" s="19"/>
      <c r="D104" s="20">
        <v>15864.6</v>
      </c>
      <c r="E104" s="20"/>
      <c r="F104" s="21"/>
      <c r="G104" s="22"/>
      <c r="H104" s="23">
        <f>SUM(H103:H103)</f>
        <v>31841.22</v>
      </c>
      <c r="I104" s="23">
        <f>SUM(I103:I103)</f>
        <v>16693.830000000002</v>
      </c>
      <c r="J104" s="23">
        <f>SUM(J103:J103)</f>
        <v>37451.19</v>
      </c>
    </row>
    <row r="105" spans="1:10" ht="10.7" customHeight="1" x14ac:dyDescent="0.15">
      <c r="A105" s="24" t="s">
        <v>180</v>
      </c>
      <c r="B105" s="24"/>
      <c r="C105" s="24"/>
      <c r="D105" s="25"/>
      <c r="E105" s="25"/>
      <c r="F105" s="26"/>
      <c r="G105" s="10"/>
      <c r="H105" s="11"/>
      <c r="I105" s="11"/>
      <c r="J105" s="11"/>
    </row>
    <row r="106" spans="1:10" ht="10.7" customHeight="1" x14ac:dyDescent="0.15">
      <c r="A106" s="17" t="s">
        <v>181</v>
      </c>
      <c r="B106" s="17" t="s">
        <v>182</v>
      </c>
      <c r="C106" s="17" t="s">
        <v>183</v>
      </c>
      <c r="D106" s="18">
        <v>0</v>
      </c>
      <c r="E106" s="18">
        <v>0</v>
      </c>
      <c r="F106" s="14">
        <v>0</v>
      </c>
      <c r="G106" s="15">
        <v>0</v>
      </c>
      <c r="H106" s="16">
        <v>0</v>
      </c>
      <c r="I106" s="16">
        <v>0</v>
      </c>
      <c r="J106" s="16">
        <v>0</v>
      </c>
    </row>
    <row r="107" spans="1:10" ht="10.7" customHeight="1" x14ac:dyDescent="0.15">
      <c r="A107" s="17" t="s">
        <v>184</v>
      </c>
      <c r="B107" s="17" t="s">
        <v>185</v>
      </c>
      <c r="C107" s="17" t="s">
        <v>183</v>
      </c>
      <c r="D107" s="18">
        <v>0</v>
      </c>
      <c r="E107" s="18">
        <v>0</v>
      </c>
      <c r="F107" s="14">
        <v>0</v>
      </c>
      <c r="G107" s="15">
        <v>0</v>
      </c>
      <c r="H107" s="16">
        <v>0</v>
      </c>
      <c r="I107" s="16">
        <v>0</v>
      </c>
      <c r="J107" s="16">
        <v>0</v>
      </c>
    </row>
    <row r="108" spans="1:10" ht="10.7" customHeight="1" x14ac:dyDescent="0.15">
      <c r="A108" s="19" t="s">
        <v>186</v>
      </c>
      <c r="B108" s="19"/>
      <c r="C108" s="19"/>
      <c r="D108" s="20">
        <v>0</v>
      </c>
      <c r="E108" s="20"/>
      <c r="F108" s="21"/>
      <c r="G108" s="22"/>
      <c r="H108" s="23">
        <f>SUM(H106:H107)</f>
        <v>0</v>
      </c>
      <c r="I108" s="23">
        <f>SUM(I106:I107)</f>
        <v>0</v>
      </c>
      <c r="J108" s="23">
        <f>SUM(J106:J107)</f>
        <v>0</v>
      </c>
    </row>
    <row r="109" spans="1:10" ht="10.7" customHeight="1" x14ac:dyDescent="0.15">
      <c r="A109" s="24" t="s">
        <v>187</v>
      </c>
      <c r="B109" s="24"/>
      <c r="C109" s="24"/>
      <c r="D109" s="25"/>
      <c r="E109" s="25"/>
      <c r="F109" s="26"/>
      <c r="G109" s="10"/>
      <c r="H109" s="11"/>
      <c r="I109" s="11"/>
      <c r="J109" s="11"/>
    </row>
    <row r="110" spans="1:10" ht="10.7" customHeight="1" x14ac:dyDescent="0.15">
      <c r="A110" s="17" t="s">
        <v>188</v>
      </c>
      <c r="B110" s="17" t="s">
        <v>189</v>
      </c>
      <c r="C110" s="17" t="s">
        <v>144</v>
      </c>
      <c r="D110" s="18">
        <v>38</v>
      </c>
      <c r="E110" s="18">
        <v>0</v>
      </c>
      <c r="F110" s="14">
        <v>26</v>
      </c>
      <c r="G110" s="15">
        <v>12</v>
      </c>
      <c r="H110" s="16">
        <v>0</v>
      </c>
      <c r="I110" s="16">
        <v>2802.8</v>
      </c>
      <c r="J110" s="16">
        <v>1293.56</v>
      </c>
    </row>
    <row r="111" spans="1:10" ht="10.7" customHeight="1" x14ac:dyDescent="0.15">
      <c r="A111" s="19" t="s">
        <v>190</v>
      </c>
      <c r="B111" s="19"/>
      <c r="C111" s="19"/>
      <c r="D111" s="20">
        <v>3543.5</v>
      </c>
      <c r="E111" s="20"/>
      <c r="F111" s="21"/>
      <c r="G111" s="22"/>
      <c r="H111" s="23">
        <f>SUM(H110:H110)</f>
        <v>0</v>
      </c>
      <c r="I111" s="23">
        <f>SUM(I110:I110)</f>
        <v>2802.8</v>
      </c>
      <c r="J111" s="23">
        <f>SUM(J110:J110)</f>
        <v>1293.56</v>
      </c>
    </row>
    <row r="112" spans="1:10" ht="10.7" customHeight="1" x14ac:dyDescent="0.15">
      <c r="A112" s="24" t="s">
        <v>191</v>
      </c>
      <c r="B112" s="24"/>
      <c r="C112" s="24"/>
      <c r="D112" s="25"/>
      <c r="E112" s="25"/>
      <c r="F112" s="26"/>
      <c r="G112" s="10"/>
      <c r="H112" s="11"/>
      <c r="I112" s="11"/>
      <c r="J112" s="11"/>
    </row>
    <row r="113" spans="1:10" ht="10.7" customHeight="1" x14ac:dyDescent="0.15">
      <c r="A113" s="17" t="s">
        <v>192</v>
      </c>
      <c r="B113" s="17" t="s">
        <v>193</v>
      </c>
      <c r="C113" s="17" t="s">
        <v>3</v>
      </c>
      <c r="D113" s="18">
        <v>693</v>
      </c>
      <c r="E113" s="18">
        <v>0</v>
      </c>
      <c r="F113" s="14">
        <v>219</v>
      </c>
      <c r="G113" s="15">
        <v>474</v>
      </c>
      <c r="H113" s="16">
        <v>0</v>
      </c>
      <c r="I113" s="16">
        <v>39572.269999999997</v>
      </c>
      <c r="J113" s="16">
        <v>87267.21</v>
      </c>
    </row>
    <row r="114" spans="1:10" ht="10.7" customHeight="1" x14ac:dyDescent="0.15">
      <c r="A114" s="17" t="s">
        <v>194</v>
      </c>
      <c r="B114" s="17" t="s">
        <v>195</v>
      </c>
      <c r="C114" s="17" t="s">
        <v>83</v>
      </c>
      <c r="D114" s="18">
        <v>33</v>
      </c>
      <c r="E114" s="18">
        <v>0</v>
      </c>
      <c r="F114" s="14">
        <v>10</v>
      </c>
      <c r="G114" s="15">
        <v>23</v>
      </c>
      <c r="H114" s="16">
        <v>0</v>
      </c>
      <c r="I114" s="16">
        <v>1519.7</v>
      </c>
      <c r="J114" s="16">
        <v>3495.13</v>
      </c>
    </row>
    <row r="115" spans="1:10" ht="10.7" customHeight="1" x14ac:dyDescent="0.15">
      <c r="A115" s="17" t="s">
        <v>196</v>
      </c>
      <c r="B115" s="17" t="s">
        <v>197</v>
      </c>
      <c r="C115" s="17" t="s">
        <v>53</v>
      </c>
      <c r="D115" s="18">
        <v>222</v>
      </c>
      <c r="E115" s="18">
        <v>300</v>
      </c>
      <c r="F115" s="14">
        <v>285</v>
      </c>
      <c r="G115" s="15">
        <v>237</v>
      </c>
      <c r="H115" s="16">
        <v>44580</v>
      </c>
      <c r="I115" s="16">
        <v>41363.1</v>
      </c>
      <c r="J115" s="16">
        <v>35218.199999999997</v>
      </c>
    </row>
    <row r="116" spans="1:10" ht="10.7" customHeight="1" x14ac:dyDescent="0.15">
      <c r="A116" s="19" t="s">
        <v>198</v>
      </c>
      <c r="B116" s="19"/>
      <c r="C116" s="19"/>
      <c r="D116" s="20">
        <v>121734.69</v>
      </c>
      <c r="E116" s="20"/>
      <c r="F116" s="21"/>
      <c r="G116" s="22"/>
      <c r="H116" s="23">
        <f>SUM(H113:H115)</f>
        <v>44580</v>
      </c>
      <c r="I116" s="23">
        <f>SUM(I113:I115)</f>
        <v>82455.069999999992</v>
      </c>
      <c r="J116" s="23">
        <f>SUM(J113:J115)</f>
        <v>125980.54000000001</v>
      </c>
    </row>
    <row r="117" spans="1:10" ht="10.7" customHeight="1" x14ac:dyDescent="0.15">
      <c r="A117" s="24" t="s">
        <v>199</v>
      </c>
      <c r="B117" s="24"/>
      <c r="C117" s="24"/>
      <c r="D117" s="25"/>
      <c r="E117" s="25"/>
      <c r="F117" s="26"/>
      <c r="G117" s="10"/>
      <c r="H117" s="11"/>
      <c r="I117" s="11"/>
      <c r="J117" s="11"/>
    </row>
    <row r="118" spans="1:10" ht="10.7" customHeight="1" x14ac:dyDescent="0.15">
      <c r="A118" s="17" t="s">
        <v>200</v>
      </c>
      <c r="B118" s="17" t="s">
        <v>201</v>
      </c>
      <c r="C118" s="17" t="s">
        <v>202</v>
      </c>
      <c r="D118" s="18">
        <v>15</v>
      </c>
      <c r="E118" s="18">
        <v>0</v>
      </c>
      <c r="F118" s="14">
        <v>15</v>
      </c>
      <c r="G118" s="15">
        <v>0</v>
      </c>
      <c r="H118" s="16">
        <v>0</v>
      </c>
      <c r="I118" s="16">
        <v>259.2</v>
      </c>
      <c r="J118" s="16">
        <v>0</v>
      </c>
    </row>
    <row r="119" spans="1:10" ht="10.7" customHeight="1" x14ac:dyDescent="0.15">
      <c r="A119" s="17" t="s">
        <v>203</v>
      </c>
      <c r="B119" s="17" t="s">
        <v>204</v>
      </c>
      <c r="C119" s="17" t="s">
        <v>202</v>
      </c>
      <c r="D119" s="18">
        <v>234</v>
      </c>
      <c r="E119" s="18">
        <v>0</v>
      </c>
      <c r="F119" s="14">
        <v>84</v>
      </c>
      <c r="G119" s="15">
        <v>150</v>
      </c>
      <c r="H119" s="16">
        <v>0</v>
      </c>
      <c r="I119" s="16">
        <v>1613.64</v>
      </c>
      <c r="J119" s="16">
        <v>2880.14</v>
      </c>
    </row>
    <row r="120" spans="1:10" ht="10.7" customHeight="1" x14ac:dyDescent="0.15">
      <c r="A120" s="17" t="s">
        <v>205</v>
      </c>
      <c r="B120" s="17" t="s">
        <v>206</v>
      </c>
      <c r="C120" s="17" t="s">
        <v>207</v>
      </c>
      <c r="D120" s="18">
        <v>0</v>
      </c>
      <c r="E120" s="18">
        <v>0</v>
      </c>
      <c r="F120" s="14">
        <v>0</v>
      </c>
      <c r="G120" s="15">
        <v>0</v>
      </c>
      <c r="H120" s="16">
        <v>0</v>
      </c>
      <c r="I120" s="16">
        <v>0</v>
      </c>
      <c r="J120" s="16">
        <v>0</v>
      </c>
    </row>
    <row r="121" spans="1:10" ht="10.7" customHeight="1" x14ac:dyDescent="0.15">
      <c r="A121" s="17" t="s">
        <v>208</v>
      </c>
      <c r="B121" s="17" t="s">
        <v>209</v>
      </c>
      <c r="C121" s="17" t="s">
        <v>210</v>
      </c>
      <c r="D121" s="18">
        <v>0</v>
      </c>
      <c r="E121" s="18">
        <v>0</v>
      </c>
      <c r="F121" s="14">
        <v>0</v>
      </c>
      <c r="G121" s="15">
        <v>0</v>
      </c>
      <c r="H121" s="16">
        <v>0</v>
      </c>
      <c r="I121" s="16">
        <v>0</v>
      </c>
      <c r="J121" s="16">
        <v>0</v>
      </c>
    </row>
    <row r="122" spans="1:10" ht="10.7" customHeight="1" x14ac:dyDescent="0.15">
      <c r="A122" s="17" t="s">
        <v>211</v>
      </c>
      <c r="B122" s="17" t="s">
        <v>212</v>
      </c>
      <c r="C122" s="17" t="s">
        <v>213</v>
      </c>
      <c r="D122" s="18">
        <v>561</v>
      </c>
      <c r="E122" s="18">
        <v>0</v>
      </c>
      <c r="F122" s="14">
        <v>327</v>
      </c>
      <c r="G122" s="15">
        <v>234</v>
      </c>
      <c r="H122" s="16">
        <v>0</v>
      </c>
      <c r="I122" s="16">
        <v>6628.29</v>
      </c>
      <c r="J122" s="16">
        <v>4743.18</v>
      </c>
    </row>
    <row r="123" spans="1:10" ht="10.7" customHeight="1" x14ac:dyDescent="0.15">
      <c r="A123" s="17" t="s">
        <v>214</v>
      </c>
      <c r="B123" s="17" t="s">
        <v>215</v>
      </c>
      <c r="C123" s="17" t="s">
        <v>216</v>
      </c>
      <c r="D123" s="18">
        <v>0</v>
      </c>
      <c r="E123" s="18">
        <v>0</v>
      </c>
      <c r="F123" s="14">
        <v>0</v>
      </c>
      <c r="G123" s="15">
        <v>0</v>
      </c>
      <c r="H123" s="16">
        <v>0</v>
      </c>
      <c r="I123" s="16">
        <v>0</v>
      </c>
      <c r="J123" s="16">
        <v>0</v>
      </c>
    </row>
    <row r="124" spans="1:10" ht="10.7" customHeight="1" x14ac:dyDescent="0.15">
      <c r="A124" s="17" t="s">
        <v>217</v>
      </c>
      <c r="B124" s="17" t="s">
        <v>218</v>
      </c>
      <c r="C124" s="17" t="s">
        <v>216</v>
      </c>
      <c r="D124" s="18">
        <v>179</v>
      </c>
      <c r="E124" s="18">
        <v>0</v>
      </c>
      <c r="F124" s="14">
        <v>74</v>
      </c>
      <c r="G124" s="15">
        <v>105</v>
      </c>
      <c r="H124" s="16">
        <v>0</v>
      </c>
      <c r="I124" s="16">
        <v>1649.46</v>
      </c>
      <c r="J124" s="16">
        <v>2340.4499999999998</v>
      </c>
    </row>
    <row r="125" spans="1:10" ht="10.7" customHeight="1" x14ac:dyDescent="0.15">
      <c r="A125" s="19" t="s">
        <v>219</v>
      </c>
      <c r="B125" s="19"/>
      <c r="C125" s="19"/>
      <c r="D125" s="20">
        <v>20212.2</v>
      </c>
      <c r="E125" s="20"/>
      <c r="F125" s="21"/>
      <c r="G125" s="22"/>
      <c r="H125" s="23">
        <f>SUM(H118:H124)</f>
        <v>0</v>
      </c>
      <c r="I125" s="23">
        <f>SUM(I118:I124)</f>
        <v>10150.59</v>
      </c>
      <c r="J125" s="23">
        <f>SUM(J118:J124)</f>
        <v>9963.77</v>
      </c>
    </row>
    <row r="126" spans="1:10" ht="10.7" customHeight="1" x14ac:dyDescent="0.15">
      <c r="A126" s="24" t="s">
        <v>220</v>
      </c>
      <c r="B126" s="24"/>
      <c r="C126" s="24"/>
      <c r="D126" s="25"/>
      <c r="E126" s="25"/>
      <c r="F126" s="26"/>
      <c r="G126" s="10"/>
      <c r="H126" s="11"/>
      <c r="I126" s="11"/>
      <c r="J126" s="11"/>
    </row>
    <row r="127" spans="1:10" ht="10.7" customHeight="1" x14ac:dyDescent="0.15">
      <c r="A127" s="17" t="s">
        <v>221</v>
      </c>
      <c r="B127" s="17" t="s">
        <v>222</v>
      </c>
      <c r="C127" s="17" t="s">
        <v>223</v>
      </c>
      <c r="D127" s="18">
        <v>44</v>
      </c>
      <c r="E127" s="18">
        <v>0</v>
      </c>
      <c r="F127" s="14">
        <v>15</v>
      </c>
      <c r="G127" s="15">
        <v>29</v>
      </c>
      <c r="H127" s="16">
        <v>0</v>
      </c>
      <c r="I127" s="16">
        <v>1199.25</v>
      </c>
      <c r="J127" s="16">
        <v>2318.33</v>
      </c>
    </row>
    <row r="128" spans="1:10" ht="10.7" customHeight="1" x14ac:dyDescent="0.15">
      <c r="A128" s="17" t="s">
        <v>224</v>
      </c>
      <c r="B128" s="17" t="s">
        <v>225</v>
      </c>
      <c r="C128" s="17" t="s">
        <v>223</v>
      </c>
      <c r="D128" s="18">
        <v>0</v>
      </c>
      <c r="E128" s="18">
        <v>0</v>
      </c>
      <c r="F128" s="14">
        <v>0</v>
      </c>
      <c r="G128" s="15">
        <v>0</v>
      </c>
      <c r="H128" s="16">
        <v>0</v>
      </c>
      <c r="I128" s="16">
        <v>0</v>
      </c>
      <c r="J128" s="16">
        <v>0</v>
      </c>
    </row>
    <row r="129" spans="1:10" ht="10.7" customHeight="1" x14ac:dyDescent="0.15">
      <c r="A129" s="17" t="s">
        <v>226</v>
      </c>
      <c r="B129" s="17" t="s">
        <v>227</v>
      </c>
      <c r="C129" s="17" t="s">
        <v>183</v>
      </c>
      <c r="D129" s="18">
        <v>19</v>
      </c>
      <c r="E129" s="18">
        <v>0</v>
      </c>
      <c r="F129" s="14">
        <v>9</v>
      </c>
      <c r="G129" s="15">
        <v>10</v>
      </c>
      <c r="H129" s="16">
        <v>0</v>
      </c>
      <c r="I129" s="16">
        <v>1021.23</v>
      </c>
      <c r="J129" s="16">
        <v>1134.7</v>
      </c>
    </row>
    <row r="130" spans="1:10" ht="10.7" customHeight="1" x14ac:dyDescent="0.15">
      <c r="A130" s="19" t="s">
        <v>228</v>
      </c>
      <c r="B130" s="19"/>
      <c r="C130" s="19"/>
      <c r="D130" s="20">
        <v>4199.1000000000004</v>
      </c>
      <c r="E130" s="20"/>
      <c r="F130" s="21"/>
      <c r="G130" s="22"/>
      <c r="H130" s="23">
        <f>SUM(H127:H129)</f>
        <v>0</v>
      </c>
      <c r="I130" s="23">
        <f>SUM(I127:I129)</f>
        <v>2220.48</v>
      </c>
      <c r="J130" s="23">
        <f>SUM(J127:J129)</f>
        <v>3453.0299999999997</v>
      </c>
    </row>
    <row r="131" spans="1:10" ht="10.7" customHeight="1" x14ac:dyDescent="0.15">
      <c r="A131" s="24" t="s">
        <v>229</v>
      </c>
      <c r="B131" s="24"/>
      <c r="C131" s="24"/>
      <c r="D131" s="25"/>
      <c r="E131" s="25"/>
      <c r="F131" s="26"/>
      <c r="G131" s="10"/>
      <c r="H131" s="11"/>
      <c r="I131" s="11"/>
      <c r="J131" s="11"/>
    </row>
    <row r="132" spans="1:10" ht="10.7" customHeight="1" x14ac:dyDescent="0.15">
      <c r="A132" s="17" t="s">
        <v>230</v>
      </c>
      <c r="B132" s="17" t="s">
        <v>231</v>
      </c>
      <c r="C132" s="17" t="s">
        <v>139</v>
      </c>
      <c r="D132" s="18">
        <v>0</v>
      </c>
      <c r="E132" s="18">
        <v>0</v>
      </c>
      <c r="F132" s="14">
        <v>0</v>
      </c>
      <c r="G132" s="15">
        <v>0</v>
      </c>
      <c r="H132" s="16">
        <v>0</v>
      </c>
      <c r="I132" s="16">
        <v>0</v>
      </c>
      <c r="J132" s="16">
        <v>0</v>
      </c>
    </row>
    <row r="133" spans="1:10" ht="10.7" customHeight="1" x14ac:dyDescent="0.15">
      <c r="A133" s="19" t="s">
        <v>232</v>
      </c>
      <c r="B133" s="19"/>
      <c r="C133" s="19"/>
      <c r="D133" s="20">
        <v>0</v>
      </c>
      <c r="E133" s="20"/>
      <c r="F133" s="21"/>
      <c r="G133" s="22"/>
      <c r="H133" s="23">
        <f>SUM(H132:H132)</f>
        <v>0</v>
      </c>
      <c r="I133" s="23">
        <f>SUM(I132:I132)</f>
        <v>0</v>
      </c>
      <c r="J133" s="23">
        <f>SUM(J132:J132)</f>
        <v>0</v>
      </c>
    </row>
    <row r="134" spans="1:10" ht="10.7" customHeight="1" x14ac:dyDescent="0.15">
      <c r="A134" s="24" t="s">
        <v>233</v>
      </c>
      <c r="B134" s="24"/>
      <c r="C134" s="24"/>
      <c r="D134" s="25"/>
      <c r="E134" s="25"/>
      <c r="F134" s="26"/>
      <c r="G134" s="10"/>
      <c r="H134" s="11"/>
      <c r="I134" s="11"/>
      <c r="J134" s="11"/>
    </row>
    <row r="135" spans="1:10" ht="10.7" customHeight="1" x14ac:dyDescent="0.15">
      <c r="A135" s="17" t="s">
        <v>234</v>
      </c>
      <c r="B135" s="17" t="s">
        <v>235</v>
      </c>
      <c r="C135" s="17" t="s">
        <v>112</v>
      </c>
      <c r="D135" s="18">
        <v>45</v>
      </c>
      <c r="E135" s="18">
        <v>400</v>
      </c>
      <c r="F135" s="14">
        <v>134</v>
      </c>
      <c r="G135" s="15">
        <v>311</v>
      </c>
      <c r="H135" s="16">
        <v>38497.800000000003</v>
      </c>
      <c r="I135" s="16">
        <v>12806.15</v>
      </c>
      <c r="J135" s="16">
        <v>29932.04</v>
      </c>
    </row>
    <row r="136" spans="1:10" ht="10.7" customHeight="1" x14ac:dyDescent="0.15">
      <c r="A136" s="19" t="s">
        <v>236</v>
      </c>
      <c r="B136" s="19"/>
      <c r="C136" s="19"/>
      <c r="D136" s="20">
        <v>3428.1</v>
      </c>
      <c r="E136" s="20"/>
      <c r="F136" s="21"/>
      <c r="G136" s="22"/>
      <c r="H136" s="23">
        <f>SUM(H135:H135)</f>
        <v>38497.800000000003</v>
      </c>
      <c r="I136" s="23">
        <f>SUM(I135:I135)</f>
        <v>12806.15</v>
      </c>
      <c r="J136" s="23">
        <f>SUM(J135:J135)</f>
        <v>29932.04</v>
      </c>
    </row>
    <row r="137" spans="1:10" ht="10.7" customHeight="1" x14ac:dyDescent="0.15">
      <c r="A137" s="24" t="s">
        <v>237</v>
      </c>
      <c r="B137" s="24"/>
      <c r="C137" s="24"/>
      <c r="D137" s="25"/>
      <c r="E137" s="25"/>
      <c r="F137" s="26"/>
      <c r="G137" s="10"/>
      <c r="H137" s="11"/>
      <c r="I137" s="11"/>
      <c r="J137" s="11"/>
    </row>
    <row r="138" spans="1:10" ht="10.7" customHeight="1" x14ac:dyDescent="0.15">
      <c r="A138" s="17" t="s">
        <v>238</v>
      </c>
      <c r="B138" s="17" t="s">
        <v>239</v>
      </c>
      <c r="C138" s="17" t="s">
        <v>240</v>
      </c>
      <c r="D138" s="18">
        <v>5</v>
      </c>
      <c r="E138" s="18">
        <v>0</v>
      </c>
      <c r="F138" s="14">
        <v>5</v>
      </c>
      <c r="G138" s="15">
        <v>0</v>
      </c>
      <c r="H138" s="16">
        <v>0</v>
      </c>
      <c r="I138" s="16">
        <v>259</v>
      </c>
      <c r="J138" s="16">
        <v>0</v>
      </c>
    </row>
    <row r="139" spans="1:10" ht="10.7" customHeight="1" x14ac:dyDescent="0.15">
      <c r="A139" s="17" t="s">
        <v>241</v>
      </c>
      <c r="B139" s="17" t="s">
        <v>242</v>
      </c>
      <c r="C139" s="17" t="s">
        <v>109</v>
      </c>
      <c r="D139" s="18">
        <v>15</v>
      </c>
      <c r="E139" s="18">
        <v>50</v>
      </c>
      <c r="F139" s="14">
        <v>24</v>
      </c>
      <c r="G139" s="15">
        <v>41</v>
      </c>
      <c r="H139" s="16">
        <v>3144.03</v>
      </c>
      <c r="I139" s="16">
        <v>1558.86</v>
      </c>
      <c r="J139" s="16">
        <v>2578.1</v>
      </c>
    </row>
    <row r="140" spans="1:10" ht="10.7" customHeight="1" x14ac:dyDescent="0.15">
      <c r="A140" s="19" t="s">
        <v>243</v>
      </c>
      <c r="B140" s="19"/>
      <c r="C140" s="19"/>
      <c r="D140" s="20">
        <v>990.4</v>
      </c>
      <c r="E140" s="20"/>
      <c r="F140" s="21"/>
      <c r="G140" s="22"/>
      <c r="H140" s="23">
        <f>SUM(H138:H139)</f>
        <v>3144.03</v>
      </c>
      <c r="I140" s="23">
        <f>SUM(I138:I139)</f>
        <v>1817.86</v>
      </c>
      <c r="J140" s="23">
        <f>SUM(J138:J139)</f>
        <v>2578.1</v>
      </c>
    </row>
    <row r="141" spans="1:10" ht="10.7" customHeight="1" x14ac:dyDescent="0.15">
      <c r="A141" s="24" t="s">
        <v>244</v>
      </c>
      <c r="B141" s="24"/>
      <c r="C141" s="24"/>
      <c r="D141" s="25"/>
      <c r="E141" s="25"/>
      <c r="F141" s="26"/>
      <c r="G141" s="10"/>
      <c r="H141" s="11"/>
      <c r="I141" s="11"/>
      <c r="J141" s="11"/>
    </row>
    <row r="142" spans="1:10" ht="10.7" customHeight="1" x14ac:dyDescent="0.15">
      <c r="A142" s="17" t="s">
        <v>245</v>
      </c>
      <c r="B142" s="17" t="s">
        <v>246</v>
      </c>
      <c r="C142" s="17" t="s">
        <v>240</v>
      </c>
      <c r="D142" s="18">
        <v>27</v>
      </c>
      <c r="E142" s="18">
        <v>0</v>
      </c>
      <c r="F142" s="14">
        <v>10</v>
      </c>
      <c r="G142" s="15">
        <v>17</v>
      </c>
      <c r="H142" s="16">
        <v>0</v>
      </c>
      <c r="I142" s="16">
        <v>633.1</v>
      </c>
      <c r="J142" s="16">
        <v>1076.25</v>
      </c>
    </row>
    <row r="143" spans="1:10" ht="10.7" customHeight="1" x14ac:dyDescent="0.15">
      <c r="A143" s="19" t="s">
        <v>247</v>
      </c>
      <c r="B143" s="19"/>
      <c r="C143" s="19"/>
      <c r="D143" s="20">
        <v>1481.22</v>
      </c>
      <c r="E143" s="20"/>
      <c r="F143" s="21"/>
      <c r="G143" s="22"/>
      <c r="H143" s="23">
        <f>SUM(H142:H142)</f>
        <v>0</v>
      </c>
      <c r="I143" s="23">
        <f>SUM(I142:I142)</f>
        <v>633.1</v>
      </c>
      <c r="J143" s="23">
        <f>SUM(J142:J142)</f>
        <v>1076.25</v>
      </c>
    </row>
    <row r="144" spans="1:10" ht="10.7" customHeight="1" x14ac:dyDescent="0.15">
      <c r="A144" s="24" t="s">
        <v>248</v>
      </c>
      <c r="B144" s="24"/>
      <c r="C144" s="24"/>
      <c r="D144" s="25"/>
      <c r="E144" s="25"/>
      <c r="F144" s="26"/>
      <c r="G144" s="10"/>
      <c r="H144" s="11"/>
      <c r="I144" s="11"/>
      <c r="J144" s="11"/>
    </row>
    <row r="145" spans="1:10" ht="10.7" customHeight="1" x14ac:dyDescent="0.15">
      <c r="A145" s="17" t="s">
        <v>249</v>
      </c>
      <c r="B145" s="17" t="s">
        <v>250</v>
      </c>
      <c r="C145" s="17" t="s">
        <v>18</v>
      </c>
      <c r="D145" s="18">
        <v>29</v>
      </c>
      <c r="E145" s="18">
        <v>28</v>
      </c>
      <c r="F145" s="14">
        <v>13</v>
      </c>
      <c r="G145" s="15">
        <v>44</v>
      </c>
      <c r="H145" s="16">
        <v>2694.85</v>
      </c>
      <c r="I145" s="16">
        <v>1251.25</v>
      </c>
      <c r="J145" s="16">
        <v>4234.76</v>
      </c>
    </row>
    <row r="146" spans="1:10" ht="10.7" customHeight="1" x14ac:dyDescent="0.15">
      <c r="A146" s="17" t="s">
        <v>251</v>
      </c>
      <c r="B146" s="17" t="s">
        <v>250</v>
      </c>
      <c r="C146" s="17" t="s">
        <v>183</v>
      </c>
      <c r="D146" s="18">
        <v>33</v>
      </c>
      <c r="E146" s="18">
        <v>0</v>
      </c>
      <c r="F146" s="14">
        <v>9</v>
      </c>
      <c r="G146" s="15">
        <v>24</v>
      </c>
      <c r="H146" s="16">
        <v>0</v>
      </c>
      <c r="I146" s="16">
        <v>540.9</v>
      </c>
      <c r="J146" s="16">
        <v>1442.4</v>
      </c>
    </row>
    <row r="147" spans="1:10" ht="10.7" customHeight="1" x14ac:dyDescent="0.15">
      <c r="A147" s="19" t="s">
        <v>252</v>
      </c>
      <c r="B147" s="19"/>
      <c r="C147" s="19"/>
      <c r="D147" s="20">
        <v>3357.11</v>
      </c>
      <c r="E147" s="20"/>
      <c r="F147" s="21"/>
      <c r="G147" s="22"/>
      <c r="H147" s="23">
        <f>SUM(H145:H146)</f>
        <v>2694.85</v>
      </c>
      <c r="I147" s="23">
        <f>SUM(I145:I146)</f>
        <v>1792.15</v>
      </c>
      <c r="J147" s="23">
        <f>SUM(J145:J146)</f>
        <v>5677.16</v>
      </c>
    </row>
    <row r="148" spans="1:10" ht="10.7" customHeight="1" x14ac:dyDescent="0.15">
      <c r="A148" s="24" t="s">
        <v>253</v>
      </c>
      <c r="B148" s="24"/>
      <c r="C148" s="24"/>
      <c r="D148" s="25"/>
      <c r="E148" s="25"/>
      <c r="F148" s="26"/>
      <c r="G148" s="10"/>
      <c r="H148" s="11"/>
      <c r="I148" s="11"/>
      <c r="J148" s="11"/>
    </row>
    <row r="149" spans="1:10" ht="10.7" customHeight="1" x14ac:dyDescent="0.15">
      <c r="A149" s="17" t="s">
        <v>254</v>
      </c>
      <c r="B149" s="17" t="s">
        <v>255</v>
      </c>
      <c r="C149" s="17" t="s">
        <v>18</v>
      </c>
      <c r="D149" s="18">
        <v>24</v>
      </c>
      <c r="E149" s="18">
        <v>0</v>
      </c>
      <c r="F149" s="14">
        <v>0</v>
      </c>
      <c r="G149" s="15">
        <v>24</v>
      </c>
      <c r="H149" s="16">
        <v>0</v>
      </c>
      <c r="I149" s="16">
        <v>0</v>
      </c>
      <c r="J149" s="16">
        <v>2186.02</v>
      </c>
    </row>
    <row r="150" spans="1:10" ht="10.7" customHeight="1" x14ac:dyDescent="0.15">
      <c r="A150" s="17" t="s">
        <v>256</v>
      </c>
      <c r="B150" s="17" t="s">
        <v>257</v>
      </c>
      <c r="C150" s="17" t="s">
        <v>18</v>
      </c>
      <c r="D150" s="18">
        <v>23</v>
      </c>
      <c r="E150" s="18">
        <v>0</v>
      </c>
      <c r="F150" s="14">
        <v>23</v>
      </c>
      <c r="G150" s="15">
        <v>0</v>
      </c>
      <c r="H150" s="16">
        <v>0</v>
      </c>
      <c r="I150" s="16">
        <v>2252.62</v>
      </c>
      <c r="J150" s="16">
        <v>0</v>
      </c>
    </row>
    <row r="151" spans="1:10" ht="10.7" customHeight="1" x14ac:dyDescent="0.15">
      <c r="A151" s="17" t="s">
        <v>258</v>
      </c>
      <c r="B151" s="17" t="s">
        <v>259</v>
      </c>
      <c r="C151" s="17" t="s">
        <v>18</v>
      </c>
      <c r="D151" s="18">
        <v>2</v>
      </c>
      <c r="E151" s="18">
        <v>0</v>
      </c>
      <c r="F151" s="14">
        <v>2</v>
      </c>
      <c r="G151" s="15">
        <v>0</v>
      </c>
      <c r="H151" s="16">
        <v>0</v>
      </c>
      <c r="I151" s="16">
        <v>195.88</v>
      </c>
      <c r="J151" s="16">
        <v>0</v>
      </c>
    </row>
    <row r="152" spans="1:10" ht="10.7" customHeight="1" x14ac:dyDescent="0.15">
      <c r="A152" s="19" t="s">
        <v>260</v>
      </c>
      <c r="B152" s="19"/>
      <c r="C152" s="19"/>
      <c r="D152" s="20">
        <v>4174.42</v>
      </c>
      <c r="E152" s="20"/>
      <c r="F152" s="21"/>
      <c r="G152" s="22"/>
      <c r="H152" s="23">
        <f>SUM(H149:H151)</f>
        <v>0</v>
      </c>
      <c r="I152" s="23">
        <f>SUM(I149:I151)</f>
        <v>2448.5</v>
      </c>
      <c r="J152" s="23">
        <f>SUM(J149:J151)</f>
        <v>2186.02</v>
      </c>
    </row>
    <row r="153" spans="1:10" ht="10.7" customHeight="1" x14ac:dyDescent="0.15">
      <c r="A153" s="24" t="s">
        <v>261</v>
      </c>
      <c r="B153" s="24"/>
      <c r="C153" s="24"/>
      <c r="D153" s="25"/>
      <c r="E153" s="25"/>
      <c r="F153" s="26"/>
      <c r="G153" s="10"/>
      <c r="H153" s="11"/>
      <c r="I153" s="11"/>
      <c r="J153" s="11"/>
    </row>
    <row r="154" spans="1:10" ht="10.7" customHeight="1" x14ac:dyDescent="0.15">
      <c r="A154" s="17" t="s">
        <v>262</v>
      </c>
      <c r="B154" s="17" t="s">
        <v>263</v>
      </c>
      <c r="C154" s="17" t="s">
        <v>3</v>
      </c>
      <c r="D154" s="18">
        <v>101</v>
      </c>
      <c r="E154" s="18">
        <v>500</v>
      </c>
      <c r="F154" s="14">
        <v>200</v>
      </c>
      <c r="G154" s="15">
        <v>401</v>
      </c>
      <c r="H154" s="16">
        <v>78813.47</v>
      </c>
      <c r="I154" s="16">
        <v>31131.26</v>
      </c>
      <c r="J154" s="16">
        <v>63635.93</v>
      </c>
    </row>
    <row r="155" spans="1:10" ht="10.7" customHeight="1" x14ac:dyDescent="0.15">
      <c r="A155" s="19" t="s">
        <v>264</v>
      </c>
      <c r="B155" s="19"/>
      <c r="C155" s="19"/>
      <c r="D155" s="20">
        <v>12310.89</v>
      </c>
      <c r="E155" s="20"/>
      <c r="F155" s="21"/>
      <c r="G155" s="22"/>
      <c r="H155" s="23">
        <f>SUM(H154:H154)</f>
        <v>78813.47</v>
      </c>
      <c r="I155" s="23">
        <f>SUM(I154:I154)</f>
        <v>31131.26</v>
      </c>
      <c r="J155" s="23">
        <f>SUM(J154:J154)</f>
        <v>63635.93</v>
      </c>
    </row>
    <row r="156" spans="1:10" ht="10.7" customHeight="1" x14ac:dyDescent="0.15">
      <c r="A156" s="24" t="s">
        <v>265</v>
      </c>
      <c r="B156" s="24"/>
      <c r="C156" s="24"/>
      <c r="D156" s="25"/>
      <c r="E156" s="25"/>
      <c r="F156" s="26"/>
      <c r="G156" s="10"/>
      <c r="H156" s="11"/>
      <c r="I156" s="11"/>
      <c r="J156" s="11"/>
    </row>
    <row r="157" spans="1:10" ht="10.7" customHeight="1" x14ac:dyDescent="0.15">
      <c r="A157" s="17" t="s">
        <v>266</v>
      </c>
      <c r="B157" s="17" t="s">
        <v>267</v>
      </c>
      <c r="C157" s="17" t="s">
        <v>158</v>
      </c>
      <c r="D157" s="18">
        <v>7</v>
      </c>
      <c r="E157" s="18">
        <v>0</v>
      </c>
      <c r="F157" s="14">
        <v>0</v>
      </c>
      <c r="G157" s="15">
        <v>7</v>
      </c>
      <c r="H157" s="16">
        <v>0</v>
      </c>
      <c r="I157" s="16">
        <v>0</v>
      </c>
      <c r="J157" s="16">
        <v>2081.2399999999998</v>
      </c>
    </row>
    <row r="158" spans="1:10" ht="10.7" customHeight="1" x14ac:dyDescent="0.15">
      <c r="A158" s="17" t="s">
        <v>268</v>
      </c>
      <c r="B158" s="17" t="s">
        <v>269</v>
      </c>
      <c r="C158" s="17" t="s">
        <v>158</v>
      </c>
      <c r="D158" s="18">
        <v>0</v>
      </c>
      <c r="E158" s="18">
        <v>0</v>
      </c>
      <c r="F158" s="14">
        <v>0</v>
      </c>
      <c r="G158" s="15">
        <v>0</v>
      </c>
      <c r="H158" s="16">
        <v>0</v>
      </c>
      <c r="I158" s="16">
        <v>0</v>
      </c>
      <c r="J158" s="16">
        <v>0</v>
      </c>
    </row>
    <row r="159" spans="1:10" ht="10.7" customHeight="1" x14ac:dyDescent="0.15">
      <c r="A159" s="19" t="s">
        <v>270</v>
      </c>
      <c r="B159" s="19"/>
      <c r="C159" s="19"/>
      <c r="D159" s="20">
        <v>1661.45</v>
      </c>
      <c r="E159" s="20"/>
      <c r="F159" s="21"/>
      <c r="G159" s="22"/>
      <c r="H159" s="23">
        <f>SUM(H157:H158)</f>
        <v>0</v>
      </c>
      <c r="I159" s="23">
        <f>SUM(I157:I158)</f>
        <v>0</v>
      </c>
      <c r="J159" s="23">
        <f>SUM(J157:J158)</f>
        <v>2081.2399999999998</v>
      </c>
    </row>
    <row r="160" spans="1:10" ht="10.7" customHeight="1" x14ac:dyDescent="0.15">
      <c r="A160" s="24" t="s">
        <v>271</v>
      </c>
      <c r="B160" s="24"/>
      <c r="C160" s="24"/>
      <c r="D160" s="25"/>
      <c r="E160" s="25"/>
      <c r="F160" s="26"/>
      <c r="G160" s="10"/>
      <c r="H160" s="11"/>
      <c r="I160" s="11"/>
      <c r="J160" s="11"/>
    </row>
    <row r="161" spans="1:10" ht="10.7" customHeight="1" x14ac:dyDescent="0.15">
      <c r="A161" s="17" t="s">
        <v>272</v>
      </c>
      <c r="B161" s="17" t="s">
        <v>273</v>
      </c>
      <c r="C161" s="17" t="s">
        <v>67</v>
      </c>
      <c r="D161" s="18">
        <v>125</v>
      </c>
      <c r="E161" s="18">
        <v>0</v>
      </c>
      <c r="F161" s="14">
        <v>23</v>
      </c>
      <c r="G161" s="15">
        <v>102</v>
      </c>
      <c r="H161" s="16">
        <v>0</v>
      </c>
      <c r="I161" s="16">
        <v>3616.06</v>
      </c>
      <c r="J161" s="16">
        <v>16862.919999999998</v>
      </c>
    </row>
    <row r="162" spans="1:10" ht="10.7" customHeight="1" x14ac:dyDescent="0.15">
      <c r="A162" s="17" t="s">
        <v>274</v>
      </c>
      <c r="B162" s="17" t="s">
        <v>275</v>
      </c>
      <c r="C162" s="17" t="s">
        <v>3</v>
      </c>
      <c r="D162" s="18">
        <v>49</v>
      </c>
      <c r="E162" s="18">
        <v>0</v>
      </c>
      <c r="F162" s="14">
        <v>17</v>
      </c>
      <c r="G162" s="15">
        <v>32</v>
      </c>
      <c r="H162" s="16">
        <v>0</v>
      </c>
      <c r="I162" s="16">
        <v>2698.68</v>
      </c>
      <c r="J162" s="16">
        <v>5092.3100000000004</v>
      </c>
    </row>
    <row r="163" spans="1:10" ht="10.7" customHeight="1" x14ac:dyDescent="0.15">
      <c r="A163" s="19" t="s">
        <v>276</v>
      </c>
      <c r="B163" s="19"/>
      <c r="C163" s="19"/>
      <c r="D163" s="20">
        <v>22023.06</v>
      </c>
      <c r="E163" s="20"/>
      <c r="F163" s="21"/>
      <c r="G163" s="22"/>
      <c r="H163" s="23">
        <f>SUM(H161:H162)</f>
        <v>0</v>
      </c>
      <c r="I163" s="23">
        <f>SUM(I161:I162)</f>
        <v>6314.74</v>
      </c>
      <c r="J163" s="23">
        <f>SUM(J161:J162)</f>
        <v>21955.23</v>
      </c>
    </row>
    <row r="164" spans="1:10" ht="10.7" customHeight="1" x14ac:dyDescent="0.15">
      <c r="A164" s="24" t="s">
        <v>277</v>
      </c>
      <c r="B164" s="24"/>
      <c r="C164" s="24"/>
      <c r="D164" s="25"/>
      <c r="E164" s="25"/>
      <c r="F164" s="26"/>
      <c r="G164" s="10"/>
      <c r="H164" s="11"/>
      <c r="I164" s="11"/>
      <c r="J164" s="11"/>
    </row>
    <row r="165" spans="1:10" ht="10.7" customHeight="1" x14ac:dyDescent="0.15">
      <c r="A165" s="17" t="s">
        <v>278</v>
      </c>
      <c r="B165" s="17" t="s">
        <v>279</v>
      </c>
      <c r="C165" s="17" t="s">
        <v>144</v>
      </c>
      <c r="D165" s="18">
        <v>0</v>
      </c>
      <c r="E165" s="18">
        <v>0</v>
      </c>
      <c r="F165" s="14">
        <v>0</v>
      </c>
      <c r="G165" s="15">
        <v>0</v>
      </c>
      <c r="H165" s="16">
        <v>0</v>
      </c>
      <c r="I165" s="16">
        <v>0</v>
      </c>
      <c r="J165" s="16">
        <v>0</v>
      </c>
    </row>
    <row r="166" spans="1:10" ht="10.7" customHeight="1" x14ac:dyDescent="0.15">
      <c r="A166" s="17" t="s">
        <v>280</v>
      </c>
      <c r="B166" s="17" t="s">
        <v>279</v>
      </c>
      <c r="C166" s="17" t="s">
        <v>281</v>
      </c>
      <c r="D166" s="18">
        <v>35</v>
      </c>
      <c r="E166" s="18">
        <v>0</v>
      </c>
      <c r="F166" s="14">
        <v>17</v>
      </c>
      <c r="G166" s="15">
        <v>18</v>
      </c>
      <c r="H166" s="16">
        <v>0</v>
      </c>
      <c r="I166" s="16">
        <v>1489.54</v>
      </c>
      <c r="J166" s="16">
        <v>1577.16</v>
      </c>
    </row>
    <row r="167" spans="1:10" ht="10.7" customHeight="1" x14ac:dyDescent="0.15">
      <c r="A167" s="19" t="s">
        <v>282</v>
      </c>
      <c r="B167" s="19"/>
      <c r="C167" s="19"/>
      <c r="D167" s="20">
        <v>3066.7</v>
      </c>
      <c r="E167" s="20"/>
      <c r="F167" s="21"/>
      <c r="G167" s="22"/>
      <c r="H167" s="23">
        <f>SUM(H165:H166)</f>
        <v>0</v>
      </c>
      <c r="I167" s="23">
        <f>SUM(I165:I166)</f>
        <v>1489.54</v>
      </c>
      <c r="J167" s="23">
        <f>SUM(J165:J166)</f>
        <v>1577.16</v>
      </c>
    </row>
    <row r="168" spans="1:10" ht="10.7" customHeight="1" x14ac:dyDescent="0.15">
      <c r="A168" s="24" t="s">
        <v>283</v>
      </c>
      <c r="B168" s="24"/>
      <c r="C168" s="24"/>
      <c r="D168" s="25"/>
      <c r="E168" s="25"/>
      <c r="F168" s="26"/>
      <c r="G168" s="10"/>
      <c r="H168" s="11"/>
      <c r="I168" s="11"/>
      <c r="J168" s="11"/>
    </row>
    <row r="169" spans="1:10" ht="10.7" customHeight="1" x14ac:dyDescent="0.15">
      <c r="A169" s="17" t="s">
        <v>284</v>
      </c>
      <c r="B169" s="17" t="s">
        <v>285</v>
      </c>
      <c r="C169" s="17" t="s">
        <v>18</v>
      </c>
      <c r="D169" s="18">
        <v>35</v>
      </c>
      <c r="E169" s="18">
        <v>0</v>
      </c>
      <c r="F169" s="14">
        <v>14</v>
      </c>
      <c r="G169" s="15">
        <v>21</v>
      </c>
      <c r="H169" s="16">
        <v>0</v>
      </c>
      <c r="I169" s="16">
        <v>1982.12</v>
      </c>
      <c r="J169" s="16">
        <v>3049.41</v>
      </c>
    </row>
    <row r="170" spans="1:10" ht="10.7" customHeight="1" x14ac:dyDescent="0.15">
      <c r="A170" s="17" t="s">
        <v>286</v>
      </c>
      <c r="B170" s="17" t="s">
        <v>287</v>
      </c>
      <c r="C170" s="17" t="s">
        <v>18</v>
      </c>
      <c r="D170" s="18">
        <v>0</v>
      </c>
      <c r="E170" s="18">
        <v>0</v>
      </c>
      <c r="F170" s="14">
        <v>0</v>
      </c>
      <c r="G170" s="15">
        <v>0</v>
      </c>
      <c r="H170" s="16">
        <v>0</v>
      </c>
      <c r="I170" s="16">
        <v>0</v>
      </c>
      <c r="J170" s="16">
        <v>0</v>
      </c>
    </row>
    <row r="171" spans="1:10" ht="10.7" customHeight="1" x14ac:dyDescent="0.15">
      <c r="A171" s="17" t="s">
        <v>288</v>
      </c>
      <c r="B171" s="17" t="s">
        <v>289</v>
      </c>
      <c r="C171" s="17" t="s">
        <v>18</v>
      </c>
      <c r="D171" s="18">
        <v>2</v>
      </c>
      <c r="E171" s="18">
        <v>28</v>
      </c>
      <c r="F171" s="14">
        <v>2</v>
      </c>
      <c r="G171" s="15">
        <v>28</v>
      </c>
      <c r="H171" s="16">
        <v>4868.8599999999997</v>
      </c>
      <c r="I171" s="16">
        <v>333.14</v>
      </c>
      <c r="J171" s="16">
        <v>4868.8599999999997</v>
      </c>
    </row>
    <row r="172" spans="1:10" ht="10.7" customHeight="1" x14ac:dyDescent="0.15">
      <c r="A172" s="17" t="s">
        <v>290</v>
      </c>
      <c r="B172" s="17" t="s">
        <v>291</v>
      </c>
      <c r="C172" s="17" t="s">
        <v>18</v>
      </c>
      <c r="D172" s="18">
        <v>16</v>
      </c>
      <c r="E172" s="18">
        <v>28</v>
      </c>
      <c r="F172" s="14">
        <v>10</v>
      </c>
      <c r="G172" s="15">
        <v>34</v>
      </c>
      <c r="H172" s="16">
        <v>3862.59</v>
      </c>
      <c r="I172" s="16">
        <v>1379.5</v>
      </c>
      <c r="J172" s="16">
        <v>4690.29</v>
      </c>
    </row>
    <row r="173" spans="1:10" ht="10.7" customHeight="1" x14ac:dyDescent="0.15">
      <c r="A173" s="17" t="s">
        <v>292</v>
      </c>
      <c r="B173" s="17" t="s">
        <v>291</v>
      </c>
      <c r="C173" s="17" t="s">
        <v>293</v>
      </c>
      <c r="D173" s="18">
        <v>18</v>
      </c>
      <c r="E173" s="18">
        <v>0</v>
      </c>
      <c r="F173" s="14">
        <v>0</v>
      </c>
      <c r="G173" s="15">
        <v>18</v>
      </c>
      <c r="H173" s="16">
        <v>0</v>
      </c>
      <c r="I173" s="16">
        <v>0</v>
      </c>
      <c r="J173" s="16">
        <v>3788.34</v>
      </c>
    </row>
    <row r="174" spans="1:10" ht="10.7" customHeight="1" x14ac:dyDescent="0.15">
      <c r="A174" s="17" t="s">
        <v>294</v>
      </c>
      <c r="B174" s="17" t="s">
        <v>295</v>
      </c>
      <c r="C174" s="17" t="s">
        <v>18</v>
      </c>
      <c r="D174" s="18">
        <v>19</v>
      </c>
      <c r="E174" s="18">
        <v>0</v>
      </c>
      <c r="F174" s="14">
        <v>19</v>
      </c>
      <c r="G174" s="15">
        <v>0</v>
      </c>
      <c r="H174" s="16">
        <v>0</v>
      </c>
      <c r="I174" s="16">
        <v>1828.75</v>
      </c>
      <c r="J174" s="16">
        <v>0</v>
      </c>
    </row>
    <row r="175" spans="1:10" ht="10.7" customHeight="1" x14ac:dyDescent="0.15">
      <c r="A175" s="17" t="s">
        <v>296</v>
      </c>
      <c r="B175" s="17" t="s">
        <v>297</v>
      </c>
      <c r="C175" s="17" t="s">
        <v>18</v>
      </c>
      <c r="D175" s="18">
        <v>28</v>
      </c>
      <c r="E175" s="18">
        <v>0</v>
      </c>
      <c r="F175" s="14">
        <v>6</v>
      </c>
      <c r="G175" s="15">
        <v>22</v>
      </c>
      <c r="H175" s="16">
        <v>0</v>
      </c>
      <c r="I175" s="16">
        <v>577.5</v>
      </c>
      <c r="J175" s="16">
        <v>2117.38</v>
      </c>
    </row>
    <row r="176" spans="1:10" ht="10.7" customHeight="1" x14ac:dyDescent="0.15">
      <c r="A176" s="17" t="s">
        <v>298</v>
      </c>
      <c r="B176" s="17" t="s">
        <v>299</v>
      </c>
      <c r="C176" s="17" t="s">
        <v>18</v>
      </c>
      <c r="D176" s="18">
        <v>32</v>
      </c>
      <c r="E176" s="18">
        <v>0</v>
      </c>
      <c r="F176" s="14">
        <v>3</v>
      </c>
      <c r="G176" s="15">
        <v>29</v>
      </c>
      <c r="H176" s="16">
        <v>0</v>
      </c>
      <c r="I176" s="16">
        <v>435.63</v>
      </c>
      <c r="J176" s="16">
        <v>4007.8</v>
      </c>
    </row>
    <row r="177" spans="1:10" ht="10.7" customHeight="1" x14ac:dyDescent="0.15">
      <c r="A177" s="17" t="s">
        <v>300</v>
      </c>
      <c r="B177" s="17" t="s">
        <v>301</v>
      </c>
      <c r="C177" s="17" t="s">
        <v>18</v>
      </c>
      <c r="D177" s="18">
        <v>0</v>
      </c>
      <c r="E177" s="18">
        <v>0</v>
      </c>
      <c r="F177" s="14">
        <v>0</v>
      </c>
      <c r="G177" s="15">
        <v>0</v>
      </c>
      <c r="H177" s="16">
        <v>0</v>
      </c>
      <c r="I177" s="16">
        <v>0</v>
      </c>
      <c r="J177" s="16">
        <v>0</v>
      </c>
    </row>
    <row r="178" spans="1:10" ht="10.7" customHeight="1" x14ac:dyDescent="0.15">
      <c r="A178" s="17" t="s">
        <v>302</v>
      </c>
      <c r="B178" s="17" t="s">
        <v>303</v>
      </c>
      <c r="C178" s="17" t="s">
        <v>18</v>
      </c>
      <c r="D178" s="18">
        <v>0</v>
      </c>
      <c r="E178" s="18">
        <v>0</v>
      </c>
      <c r="F178" s="14">
        <v>0</v>
      </c>
      <c r="G178" s="15">
        <v>0</v>
      </c>
      <c r="H178" s="16">
        <v>0</v>
      </c>
      <c r="I178" s="16">
        <v>0</v>
      </c>
      <c r="J178" s="16">
        <v>0</v>
      </c>
    </row>
    <row r="179" spans="1:10" ht="10.7" customHeight="1" x14ac:dyDescent="0.15">
      <c r="A179" s="17" t="s">
        <v>304</v>
      </c>
      <c r="B179" s="17" t="s">
        <v>305</v>
      </c>
      <c r="C179" s="17" t="s">
        <v>18</v>
      </c>
      <c r="D179" s="18">
        <v>0</v>
      </c>
      <c r="E179" s="18">
        <v>0</v>
      </c>
      <c r="F179" s="14">
        <v>0</v>
      </c>
      <c r="G179" s="15">
        <v>0</v>
      </c>
      <c r="H179" s="16">
        <v>0</v>
      </c>
      <c r="I179" s="16">
        <v>0</v>
      </c>
      <c r="J179" s="16">
        <v>0</v>
      </c>
    </row>
    <row r="180" spans="1:10" ht="10.7" customHeight="1" x14ac:dyDescent="0.15">
      <c r="A180" s="17" t="s">
        <v>306</v>
      </c>
      <c r="B180" s="17" t="s">
        <v>307</v>
      </c>
      <c r="C180" s="17" t="s">
        <v>183</v>
      </c>
      <c r="D180" s="18">
        <v>112</v>
      </c>
      <c r="E180" s="18">
        <v>112</v>
      </c>
      <c r="F180" s="14">
        <v>105</v>
      </c>
      <c r="G180" s="15">
        <v>119</v>
      </c>
      <c r="H180" s="16">
        <v>8407.73</v>
      </c>
      <c r="I180" s="16">
        <v>7882.35</v>
      </c>
      <c r="J180" s="16">
        <v>8933.2099999999991</v>
      </c>
    </row>
    <row r="181" spans="1:10" ht="10.7" customHeight="1" x14ac:dyDescent="0.15">
      <c r="A181" s="17" t="s">
        <v>308</v>
      </c>
      <c r="B181" s="17" t="s">
        <v>309</v>
      </c>
      <c r="C181" s="17" t="s">
        <v>18</v>
      </c>
      <c r="D181" s="18">
        <v>43</v>
      </c>
      <c r="E181" s="18">
        <v>70</v>
      </c>
      <c r="F181" s="14">
        <v>45</v>
      </c>
      <c r="G181" s="15">
        <v>68</v>
      </c>
      <c r="H181" s="16">
        <v>16594.900000000001</v>
      </c>
      <c r="I181" s="16">
        <v>10611.27</v>
      </c>
      <c r="J181" s="16">
        <v>16120.76</v>
      </c>
    </row>
    <row r="182" spans="1:10" ht="10.7" customHeight="1" x14ac:dyDescent="0.15">
      <c r="A182" s="17" t="s">
        <v>310</v>
      </c>
      <c r="B182" s="17" t="s">
        <v>309</v>
      </c>
      <c r="C182" s="17" t="s">
        <v>183</v>
      </c>
      <c r="D182" s="18">
        <v>46</v>
      </c>
      <c r="E182" s="18">
        <v>0</v>
      </c>
      <c r="F182" s="14">
        <v>5</v>
      </c>
      <c r="G182" s="15">
        <v>41</v>
      </c>
      <c r="H182" s="16">
        <v>0</v>
      </c>
      <c r="I182" s="16">
        <v>737.05</v>
      </c>
      <c r="J182" s="16">
        <v>6043.45</v>
      </c>
    </row>
    <row r="183" spans="1:10" ht="10.7" customHeight="1" x14ac:dyDescent="0.15">
      <c r="A183" s="17" t="s">
        <v>311</v>
      </c>
      <c r="B183" s="17" t="s">
        <v>312</v>
      </c>
      <c r="C183" s="17" t="s">
        <v>18</v>
      </c>
      <c r="D183" s="18">
        <v>331</v>
      </c>
      <c r="E183" s="18">
        <v>0</v>
      </c>
      <c r="F183" s="14">
        <v>103</v>
      </c>
      <c r="G183" s="15">
        <v>228</v>
      </c>
      <c r="H183" s="16">
        <v>0</v>
      </c>
      <c r="I183" s="16">
        <v>15791.96</v>
      </c>
      <c r="J183" s="16">
        <v>34954.410000000003</v>
      </c>
    </row>
    <row r="184" spans="1:10" ht="10.7" customHeight="1" x14ac:dyDescent="0.15">
      <c r="A184" s="17" t="s">
        <v>313</v>
      </c>
      <c r="B184" s="17" t="s">
        <v>312</v>
      </c>
      <c r="C184" s="17" t="s">
        <v>183</v>
      </c>
      <c r="D184" s="18">
        <v>26</v>
      </c>
      <c r="E184" s="18">
        <v>70</v>
      </c>
      <c r="F184" s="14">
        <v>31</v>
      </c>
      <c r="G184" s="15">
        <v>65</v>
      </c>
      <c r="H184" s="16">
        <v>6618.5</v>
      </c>
      <c r="I184" s="16">
        <v>2931.05</v>
      </c>
      <c r="J184" s="16">
        <v>6145.75</v>
      </c>
    </row>
    <row r="185" spans="1:10" ht="10.7" customHeight="1" x14ac:dyDescent="0.15">
      <c r="A185" s="17" t="s">
        <v>314</v>
      </c>
      <c r="B185" s="17" t="s">
        <v>315</v>
      </c>
      <c r="C185" s="17" t="s">
        <v>18</v>
      </c>
      <c r="D185" s="18">
        <v>18</v>
      </c>
      <c r="E185" s="18">
        <v>0</v>
      </c>
      <c r="F185" s="14">
        <v>2</v>
      </c>
      <c r="G185" s="15">
        <v>16</v>
      </c>
      <c r="H185" s="16">
        <v>0</v>
      </c>
      <c r="I185" s="16">
        <v>255.32</v>
      </c>
      <c r="J185" s="16">
        <v>2042.5</v>
      </c>
    </row>
    <row r="186" spans="1:10" ht="10.7" customHeight="1" x14ac:dyDescent="0.15">
      <c r="A186" s="17" t="s">
        <v>316</v>
      </c>
      <c r="B186" s="17" t="s">
        <v>317</v>
      </c>
      <c r="C186" s="17" t="s">
        <v>183</v>
      </c>
      <c r="D186" s="18">
        <v>0</v>
      </c>
      <c r="E186" s="18">
        <v>0</v>
      </c>
      <c r="F186" s="14">
        <v>0</v>
      </c>
      <c r="G186" s="15">
        <v>0</v>
      </c>
      <c r="H186" s="16">
        <v>0</v>
      </c>
      <c r="I186" s="16">
        <v>0</v>
      </c>
      <c r="J186" s="16">
        <v>0</v>
      </c>
    </row>
    <row r="187" spans="1:10" ht="10.7" customHeight="1" x14ac:dyDescent="0.15">
      <c r="A187" s="17" t="s">
        <v>318</v>
      </c>
      <c r="B187" s="17" t="s">
        <v>319</v>
      </c>
      <c r="C187" s="17" t="s">
        <v>18</v>
      </c>
      <c r="D187" s="18">
        <v>40</v>
      </c>
      <c r="E187" s="18">
        <v>0</v>
      </c>
      <c r="F187" s="14">
        <v>9</v>
      </c>
      <c r="G187" s="15">
        <v>31</v>
      </c>
      <c r="H187" s="16">
        <v>0</v>
      </c>
      <c r="I187" s="16">
        <v>1562.22</v>
      </c>
      <c r="J187" s="16">
        <v>5137.97</v>
      </c>
    </row>
    <row r="188" spans="1:10" ht="10.7" customHeight="1" x14ac:dyDescent="0.15">
      <c r="A188" s="17" t="s">
        <v>320</v>
      </c>
      <c r="B188" s="17" t="s">
        <v>321</v>
      </c>
      <c r="C188" s="17" t="s">
        <v>183</v>
      </c>
      <c r="D188" s="18">
        <v>0</v>
      </c>
      <c r="E188" s="18">
        <v>0</v>
      </c>
      <c r="F188" s="14">
        <v>0</v>
      </c>
      <c r="G188" s="15">
        <v>0</v>
      </c>
      <c r="H188" s="16">
        <v>0</v>
      </c>
      <c r="I188" s="16">
        <v>0</v>
      </c>
      <c r="J188" s="16">
        <v>0</v>
      </c>
    </row>
    <row r="189" spans="1:10" ht="10.7" customHeight="1" x14ac:dyDescent="0.15">
      <c r="A189" s="17" t="s">
        <v>322</v>
      </c>
      <c r="B189" s="17" t="s">
        <v>323</v>
      </c>
      <c r="C189" s="17" t="s">
        <v>18</v>
      </c>
      <c r="D189" s="18">
        <v>37</v>
      </c>
      <c r="E189" s="18">
        <v>0</v>
      </c>
      <c r="F189" s="14">
        <v>19</v>
      </c>
      <c r="G189" s="15">
        <v>18</v>
      </c>
      <c r="H189" s="16">
        <v>0</v>
      </c>
      <c r="I189" s="16">
        <v>2631.15</v>
      </c>
      <c r="J189" s="16">
        <v>2553.12</v>
      </c>
    </row>
    <row r="190" spans="1:10" ht="10.7" customHeight="1" x14ac:dyDescent="0.15">
      <c r="A190" s="17" t="s">
        <v>324</v>
      </c>
      <c r="B190" s="17" t="s">
        <v>323</v>
      </c>
      <c r="C190" s="17" t="s">
        <v>183</v>
      </c>
      <c r="D190" s="18">
        <v>43</v>
      </c>
      <c r="E190" s="18">
        <v>0</v>
      </c>
      <c r="F190" s="14">
        <v>6</v>
      </c>
      <c r="G190" s="15">
        <v>37</v>
      </c>
      <c r="H190" s="16">
        <v>0</v>
      </c>
      <c r="I190" s="16">
        <v>431.22</v>
      </c>
      <c r="J190" s="16">
        <v>2655.31</v>
      </c>
    </row>
    <row r="191" spans="1:10" ht="10.7" customHeight="1" x14ac:dyDescent="0.15">
      <c r="A191" s="17" t="s">
        <v>325</v>
      </c>
      <c r="B191" s="17" t="s">
        <v>326</v>
      </c>
      <c r="C191" s="17" t="s">
        <v>18</v>
      </c>
      <c r="D191" s="18">
        <v>132</v>
      </c>
      <c r="E191" s="18">
        <v>224</v>
      </c>
      <c r="F191" s="14">
        <v>123</v>
      </c>
      <c r="G191" s="15">
        <v>233</v>
      </c>
      <c r="H191" s="16">
        <v>32337.09</v>
      </c>
      <c r="I191" s="16">
        <v>18691.080000000002</v>
      </c>
      <c r="J191" s="16">
        <v>33704.730000000003</v>
      </c>
    </row>
    <row r="192" spans="1:10" ht="10.7" customHeight="1" x14ac:dyDescent="0.15">
      <c r="A192" s="19" t="s">
        <v>327</v>
      </c>
      <c r="B192" s="19"/>
      <c r="C192" s="19"/>
      <c r="D192" s="20">
        <v>106011.26</v>
      </c>
      <c r="E192" s="20"/>
      <c r="F192" s="21"/>
      <c r="G192" s="22"/>
      <c r="H192" s="23">
        <f>SUM(H169:H191)</f>
        <v>72689.67</v>
      </c>
      <c r="I192" s="23">
        <f>SUM(I169:I191)</f>
        <v>68061.310000000012</v>
      </c>
      <c r="J192" s="23">
        <f>SUM(J169:J191)</f>
        <v>140813.29</v>
      </c>
    </row>
    <row r="193" spans="1:10" ht="10.7" customHeight="1" x14ac:dyDescent="0.15">
      <c r="A193" s="24" t="s">
        <v>328</v>
      </c>
      <c r="B193" s="24"/>
      <c r="C193" s="24"/>
      <c r="D193" s="25"/>
      <c r="E193" s="25"/>
      <c r="F193" s="26"/>
      <c r="G193" s="10"/>
      <c r="H193" s="11"/>
      <c r="I193" s="11"/>
      <c r="J193" s="11"/>
    </row>
    <row r="194" spans="1:10" ht="10.7" customHeight="1" x14ac:dyDescent="0.15">
      <c r="A194" s="17" t="s">
        <v>329</v>
      </c>
      <c r="B194" s="17" t="s">
        <v>330</v>
      </c>
      <c r="C194" s="17" t="s">
        <v>3</v>
      </c>
      <c r="D194" s="18">
        <v>173</v>
      </c>
      <c r="E194" s="18">
        <v>0</v>
      </c>
      <c r="F194" s="14">
        <v>41</v>
      </c>
      <c r="G194" s="15">
        <v>132</v>
      </c>
      <c r="H194" s="16">
        <v>0</v>
      </c>
      <c r="I194" s="16">
        <v>5787.97</v>
      </c>
      <c r="J194" s="16">
        <v>18634.439999999999</v>
      </c>
    </row>
    <row r="195" spans="1:10" ht="10.7" customHeight="1" x14ac:dyDescent="0.15">
      <c r="A195" s="17" t="s">
        <v>331</v>
      </c>
      <c r="B195" s="17" t="s">
        <v>332</v>
      </c>
      <c r="C195" s="17" t="s">
        <v>73</v>
      </c>
      <c r="D195" s="18">
        <v>0</v>
      </c>
      <c r="E195" s="18">
        <v>0</v>
      </c>
      <c r="F195" s="14">
        <v>0</v>
      </c>
      <c r="G195" s="15">
        <v>0</v>
      </c>
      <c r="H195" s="16">
        <v>0</v>
      </c>
      <c r="I195" s="16">
        <v>0</v>
      </c>
      <c r="J195" s="16">
        <v>0</v>
      </c>
    </row>
    <row r="196" spans="1:10" ht="10.7" customHeight="1" x14ac:dyDescent="0.15">
      <c r="A196" s="17" t="s">
        <v>333</v>
      </c>
      <c r="B196" s="17" t="s">
        <v>334</v>
      </c>
      <c r="C196" s="17" t="s">
        <v>3</v>
      </c>
      <c r="D196" s="18">
        <v>0</v>
      </c>
      <c r="E196" s="18">
        <v>0</v>
      </c>
      <c r="F196" s="14">
        <v>0</v>
      </c>
      <c r="G196" s="15">
        <v>0</v>
      </c>
      <c r="H196" s="16">
        <v>0</v>
      </c>
      <c r="I196" s="16">
        <v>0</v>
      </c>
      <c r="J196" s="16">
        <v>0</v>
      </c>
    </row>
    <row r="197" spans="1:10" ht="10.7" customHeight="1" x14ac:dyDescent="0.15">
      <c r="A197" s="17" t="s">
        <v>335</v>
      </c>
      <c r="B197" s="17" t="s">
        <v>336</v>
      </c>
      <c r="C197" s="17" t="s">
        <v>3</v>
      </c>
      <c r="D197" s="18">
        <v>24</v>
      </c>
      <c r="E197" s="18">
        <v>0</v>
      </c>
      <c r="F197" s="14">
        <v>17</v>
      </c>
      <c r="G197" s="15">
        <v>7</v>
      </c>
      <c r="H197" s="16">
        <v>0</v>
      </c>
      <c r="I197" s="16">
        <v>2847.67</v>
      </c>
      <c r="J197" s="16">
        <v>1172.57</v>
      </c>
    </row>
    <row r="198" spans="1:10" ht="10.7" customHeight="1" x14ac:dyDescent="0.15">
      <c r="A198" s="17" t="s">
        <v>337</v>
      </c>
      <c r="B198" s="17" t="s">
        <v>338</v>
      </c>
      <c r="C198" s="17" t="s">
        <v>67</v>
      </c>
      <c r="D198" s="18">
        <v>58</v>
      </c>
      <c r="E198" s="18">
        <v>56</v>
      </c>
      <c r="F198" s="14">
        <v>28</v>
      </c>
      <c r="G198" s="15">
        <v>86</v>
      </c>
      <c r="H198" s="16">
        <v>5713.31</v>
      </c>
      <c r="I198" s="16">
        <v>2987.86</v>
      </c>
      <c r="J198" s="16">
        <v>8935.1299999999992</v>
      </c>
    </row>
    <row r="199" spans="1:10" ht="10.7" customHeight="1" x14ac:dyDescent="0.15">
      <c r="A199" s="17" t="s">
        <v>339</v>
      </c>
      <c r="B199" s="17" t="s">
        <v>340</v>
      </c>
      <c r="C199" s="17" t="s">
        <v>67</v>
      </c>
      <c r="D199" s="18">
        <v>39</v>
      </c>
      <c r="E199" s="18">
        <v>0</v>
      </c>
      <c r="F199" s="14">
        <v>12</v>
      </c>
      <c r="G199" s="15">
        <v>27</v>
      </c>
      <c r="H199" s="16">
        <v>0</v>
      </c>
      <c r="I199" s="16">
        <v>1008.6</v>
      </c>
      <c r="J199" s="16">
        <v>2269.2600000000002</v>
      </c>
    </row>
    <row r="200" spans="1:10" ht="10.7" customHeight="1" x14ac:dyDescent="0.15">
      <c r="A200" s="17" t="s">
        <v>341</v>
      </c>
      <c r="B200" s="17" t="s">
        <v>342</v>
      </c>
      <c r="C200" s="17" t="s">
        <v>210</v>
      </c>
      <c r="D200" s="18">
        <v>79</v>
      </c>
      <c r="E200" s="18">
        <v>0</v>
      </c>
      <c r="F200" s="14">
        <v>8</v>
      </c>
      <c r="G200" s="15">
        <v>71</v>
      </c>
      <c r="H200" s="16">
        <v>0</v>
      </c>
      <c r="I200" s="16">
        <v>492.8</v>
      </c>
      <c r="J200" s="16">
        <v>4373.46</v>
      </c>
    </row>
    <row r="201" spans="1:10" ht="10.7" customHeight="1" x14ac:dyDescent="0.15">
      <c r="A201" s="17" t="s">
        <v>343</v>
      </c>
      <c r="B201" s="17" t="s">
        <v>344</v>
      </c>
      <c r="C201" s="17" t="s">
        <v>53</v>
      </c>
      <c r="D201" s="18">
        <v>74</v>
      </c>
      <c r="E201" s="18">
        <v>50</v>
      </c>
      <c r="F201" s="14">
        <v>66</v>
      </c>
      <c r="G201" s="15">
        <v>58</v>
      </c>
      <c r="H201" s="16">
        <v>7430</v>
      </c>
      <c r="I201" s="16">
        <v>9807.6</v>
      </c>
      <c r="J201" s="16">
        <v>8618.7999999999993</v>
      </c>
    </row>
    <row r="202" spans="1:10" ht="10.7" customHeight="1" x14ac:dyDescent="0.15">
      <c r="A202" s="17" t="s">
        <v>345</v>
      </c>
      <c r="B202" s="17" t="s">
        <v>346</v>
      </c>
      <c r="C202" s="17" t="s">
        <v>3</v>
      </c>
      <c r="D202" s="18">
        <v>78</v>
      </c>
      <c r="E202" s="18">
        <v>0</v>
      </c>
      <c r="F202" s="14">
        <v>23</v>
      </c>
      <c r="G202" s="15">
        <v>55</v>
      </c>
      <c r="H202" s="16">
        <v>0</v>
      </c>
      <c r="I202" s="16">
        <v>2547.94</v>
      </c>
      <c r="J202" s="16">
        <v>5815.95</v>
      </c>
    </row>
    <row r="203" spans="1:10" ht="10.7" customHeight="1" x14ac:dyDescent="0.15">
      <c r="A203" s="17" t="s">
        <v>347</v>
      </c>
      <c r="B203" s="17" t="s">
        <v>20</v>
      </c>
      <c r="C203" s="17" t="s">
        <v>73</v>
      </c>
      <c r="D203" s="18">
        <v>0</v>
      </c>
      <c r="E203" s="18">
        <v>0</v>
      </c>
      <c r="F203" s="14">
        <v>0</v>
      </c>
      <c r="G203" s="15">
        <v>0</v>
      </c>
      <c r="H203" s="16">
        <v>0</v>
      </c>
      <c r="I203" s="16">
        <v>0</v>
      </c>
      <c r="J203" s="16">
        <v>0</v>
      </c>
    </row>
    <row r="204" spans="1:10" ht="10.7" customHeight="1" x14ac:dyDescent="0.15">
      <c r="A204" s="17" t="s">
        <v>348</v>
      </c>
      <c r="B204" s="17" t="s">
        <v>349</v>
      </c>
      <c r="C204" s="17" t="s">
        <v>58</v>
      </c>
      <c r="D204" s="18">
        <v>70</v>
      </c>
      <c r="E204" s="18">
        <v>168</v>
      </c>
      <c r="F204" s="14">
        <v>75</v>
      </c>
      <c r="G204" s="15">
        <v>163</v>
      </c>
      <c r="H204" s="16">
        <v>22637.66</v>
      </c>
      <c r="I204" s="16">
        <v>9713.89</v>
      </c>
      <c r="J204" s="16">
        <v>21952.37</v>
      </c>
    </row>
    <row r="205" spans="1:10" ht="10.7" customHeight="1" x14ac:dyDescent="0.15">
      <c r="A205" s="17" t="s">
        <v>350</v>
      </c>
      <c r="B205" s="17" t="s">
        <v>351</v>
      </c>
      <c r="C205" s="17" t="s">
        <v>67</v>
      </c>
      <c r="D205" s="18">
        <v>25</v>
      </c>
      <c r="E205" s="18">
        <v>0</v>
      </c>
      <c r="F205" s="14">
        <v>12</v>
      </c>
      <c r="G205" s="15">
        <v>13</v>
      </c>
      <c r="H205" s="16">
        <v>0</v>
      </c>
      <c r="I205" s="16">
        <v>1969.56</v>
      </c>
      <c r="J205" s="16">
        <v>2133.69</v>
      </c>
    </row>
    <row r="206" spans="1:10" ht="10.7" customHeight="1" x14ac:dyDescent="0.15">
      <c r="A206" s="17" t="s">
        <v>352</v>
      </c>
      <c r="B206" s="17" t="s">
        <v>353</v>
      </c>
      <c r="C206" s="17" t="s">
        <v>3</v>
      </c>
      <c r="D206" s="18">
        <v>89</v>
      </c>
      <c r="E206" s="18">
        <v>0</v>
      </c>
      <c r="F206" s="14">
        <v>49</v>
      </c>
      <c r="G206" s="15">
        <v>40</v>
      </c>
      <c r="H206" s="16">
        <v>0</v>
      </c>
      <c r="I206" s="16">
        <v>6477.31</v>
      </c>
      <c r="J206" s="16">
        <v>5315.15</v>
      </c>
    </row>
    <row r="207" spans="1:10" ht="10.7" customHeight="1" x14ac:dyDescent="0.15">
      <c r="A207" s="17" t="s">
        <v>354</v>
      </c>
      <c r="B207" s="17" t="s">
        <v>355</v>
      </c>
      <c r="C207" s="17" t="s">
        <v>67</v>
      </c>
      <c r="D207" s="18">
        <v>56</v>
      </c>
      <c r="E207" s="18">
        <v>0</v>
      </c>
      <c r="F207" s="14">
        <v>5</v>
      </c>
      <c r="G207" s="15">
        <v>51</v>
      </c>
      <c r="H207" s="16">
        <v>0</v>
      </c>
      <c r="I207" s="16">
        <v>520.1</v>
      </c>
      <c r="J207" s="16">
        <v>5305.02</v>
      </c>
    </row>
    <row r="208" spans="1:10" ht="10.7" customHeight="1" x14ac:dyDescent="0.15">
      <c r="A208" s="17" t="s">
        <v>356</v>
      </c>
      <c r="B208" s="17" t="s">
        <v>357</v>
      </c>
      <c r="C208" s="17" t="s">
        <v>3</v>
      </c>
      <c r="D208" s="18">
        <v>10</v>
      </c>
      <c r="E208" s="18">
        <v>0</v>
      </c>
      <c r="F208" s="14">
        <v>6</v>
      </c>
      <c r="G208" s="15">
        <v>4</v>
      </c>
      <c r="H208" s="16">
        <v>0</v>
      </c>
      <c r="I208" s="16">
        <v>721.38</v>
      </c>
      <c r="J208" s="16">
        <v>480.92</v>
      </c>
    </row>
    <row r="209" spans="1:10" ht="10.7" customHeight="1" x14ac:dyDescent="0.15">
      <c r="A209" s="17" t="s">
        <v>358</v>
      </c>
      <c r="B209" s="17" t="s">
        <v>359</v>
      </c>
      <c r="C209" s="17" t="s">
        <v>67</v>
      </c>
      <c r="D209" s="18">
        <v>56</v>
      </c>
      <c r="E209" s="18">
        <v>0</v>
      </c>
      <c r="F209" s="14">
        <v>0</v>
      </c>
      <c r="G209" s="15">
        <v>56</v>
      </c>
      <c r="H209" s="16">
        <v>0</v>
      </c>
      <c r="I209" s="16">
        <v>0</v>
      </c>
      <c r="J209" s="16">
        <v>8911.5300000000007</v>
      </c>
    </row>
    <row r="210" spans="1:10" ht="10.7" customHeight="1" x14ac:dyDescent="0.15">
      <c r="A210" s="17" t="s">
        <v>360</v>
      </c>
      <c r="B210" s="17" t="s">
        <v>361</v>
      </c>
      <c r="C210" s="17" t="s">
        <v>210</v>
      </c>
      <c r="D210" s="18">
        <v>309</v>
      </c>
      <c r="E210" s="18">
        <v>0</v>
      </c>
      <c r="F210" s="14">
        <v>41</v>
      </c>
      <c r="G210" s="15">
        <v>268</v>
      </c>
      <c r="H210" s="16">
        <v>0</v>
      </c>
      <c r="I210" s="16">
        <v>3579.89</v>
      </c>
      <c r="J210" s="16">
        <v>23565.64</v>
      </c>
    </row>
    <row r="211" spans="1:10" ht="10.7" customHeight="1" x14ac:dyDescent="0.15">
      <c r="A211" s="19" t="s">
        <v>362</v>
      </c>
      <c r="B211" s="19"/>
      <c r="C211" s="19"/>
      <c r="D211" s="20">
        <v>103748.33</v>
      </c>
      <c r="E211" s="20"/>
      <c r="F211" s="21"/>
      <c r="G211" s="22"/>
      <c r="H211" s="23">
        <f>SUM(H194:H210)</f>
        <v>35780.97</v>
      </c>
      <c r="I211" s="23">
        <f>SUM(I194:I210)</f>
        <v>48462.569999999992</v>
      </c>
      <c r="J211" s="23">
        <f>SUM(J194:J210)</f>
        <v>117483.93</v>
      </c>
    </row>
    <row r="212" spans="1:10" ht="10.7" customHeight="1" x14ac:dyDescent="0.15">
      <c r="A212" s="24" t="s">
        <v>363</v>
      </c>
      <c r="B212" s="24"/>
      <c r="C212" s="24"/>
      <c r="D212" s="25"/>
      <c r="E212" s="25"/>
      <c r="F212" s="26"/>
      <c r="G212" s="10"/>
      <c r="H212" s="11"/>
      <c r="I212" s="11"/>
      <c r="J212" s="11"/>
    </row>
    <row r="213" spans="1:10" ht="10.7" customHeight="1" x14ac:dyDescent="0.15">
      <c r="A213" s="17" t="s">
        <v>364</v>
      </c>
      <c r="B213" s="17" t="s">
        <v>365</v>
      </c>
      <c r="C213" s="17" t="s">
        <v>366</v>
      </c>
      <c r="D213" s="18">
        <v>32</v>
      </c>
      <c r="E213" s="18">
        <v>0</v>
      </c>
      <c r="F213" s="14">
        <v>8</v>
      </c>
      <c r="G213" s="15">
        <v>24</v>
      </c>
      <c r="H213" s="16">
        <v>0</v>
      </c>
      <c r="I213" s="16">
        <v>532.64</v>
      </c>
      <c r="J213" s="16">
        <v>1597.89</v>
      </c>
    </row>
    <row r="214" spans="1:10" ht="10.7" customHeight="1" x14ac:dyDescent="0.15">
      <c r="A214" s="17" t="s">
        <v>367</v>
      </c>
      <c r="B214" s="17" t="s">
        <v>368</v>
      </c>
      <c r="C214" s="17" t="s">
        <v>369</v>
      </c>
      <c r="D214" s="18">
        <v>37</v>
      </c>
      <c r="E214" s="18">
        <v>0</v>
      </c>
      <c r="F214" s="14">
        <v>16</v>
      </c>
      <c r="G214" s="15">
        <v>21</v>
      </c>
      <c r="H214" s="16">
        <v>0</v>
      </c>
      <c r="I214" s="16">
        <v>1728.96</v>
      </c>
      <c r="J214" s="16">
        <v>2269.2600000000002</v>
      </c>
    </row>
    <row r="215" spans="1:10" ht="10.7" customHeight="1" x14ac:dyDescent="0.15">
      <c r="A215" s="19" t="s">
        <v>370</v>
      </c>
      <c r="B215" s="19"/>
      <c r="C215" s="19"/>
      <c r="D215" s="20">
        <v>4579.03</v>
      </c>
      <c r="E215" s="20"/>
      <c r="F215" s="21"/>
      <c r="G215" s="22"/>
      <c r="H215" s="23">
        <f>SUM(H213:H214)</f>
        <v>0</v>
      </c>
      <c r="I215" s="23">
        <f>SUM(I213:I214)</f>
        <v>2261.6</v>
      </c>
      <c r="J215" s="23">
        <f>SUM(J213:J214)</f>
        <v>3867.1500000000005</v>
      </c>
    </row>
    <row r="216" spans="1:10" ht="10.7" customHeight="1" x14ac:dyDescent="0.15">
      <c r="A216" s="24" t="s">
        <v>371</v>
      </c>
      <c r="B216" s="24"/>
      <c r="C216" s="24"/>
      <c r="D216" s="25"/>
      <c r="E216" s="25"/>
      <c r="F216" s="26"/>
      <c r="G216" s="10"/>
      <c r="H216" s="11"/>
      <c r="I216" s="11"/>
      <c r="J216" s="11"/>
    </row>
    <row r="217" spans="1:10" ht="10.7" customHeight="1" x14ac:dyDescent="0.15">
      <c r="A217" s="17" t="s">
        <v>372</v>
      </c>
      <c r="B217" s="17" t="s">
        <v>373</v>
      </c>
      <c r="C217" s="17" t="s">
        <v>3</v>
      </c>
      <c r="D217" s="18">
        <v>0</v>
      </c>
      <c r="E217" s="18">
        <v>0</v>
      </c>
      <c r="F217" s="14">
        <v>0</v>
      </c>
      <c r="G217" s="15">
        <v>0</v>
      </c>
      <c r="H217" s="16">
        <v>0</v>
      </c>
      <c r="I217" s="16">
        <v>0</v>
      </c>
      <c r="J217" s="16">
        <v>0</v>
      </c>
    </row>
    <row r="218" spans="1:10" ht="10.7" customHeight="1" x14ac:dyDescent="0.15">
      <c r="A218" s="19" t="s">
        <v>374</v>
      </c>
      <c r="B218" s="19"/>
      <c r="C218" s="19"/>
      <c r="D218" s="20">
        <v>0</v>
      </c>
      <c r="E218" s="20"/>
      <c r="F218" s="21"/>
      <c r="G218" s="22"/>
      <c r="H218" s="23">
        <f>SUM(H217:H217)</f>
        <v>0</v>
      </c>
      <c r="I218" s="23">
        <f>SUM(I217:I217)</f>
        <v>0</v>
      </c>
      <c r="J218" s="23">
        <f>SUM(J217:J217)</f>
        <v>0</v>
      </c>
    </row>
    <row r="219" spans="1:10" ht="10.7" customHeight="1" x14ac:dyDescent="0.15">
      <c r="A219" s="24" t="s">
        <v>375</v>
      </c>
      <c r="B219" s="24"/>
      <c r="C219" s="24"/>
      <c r="D219" s="25"/>
      <c r="E219" s="25"/>
      <c r="F219" s="26"/>
      <c r="G219" s="10"/>
      <c r="H219" s="11"/>
      <c r="I219" s="11"/>
      <c r="J219" s="11"/>
    </row>
    <row r="220" spans="1:10" ht="10.7" customHeight="1" x14ac:dyDescent="0.15">
      <c r="A220" s="17" t="s">
        <v>376</v>
      </c>
      <c r="B220" s="17" t="s">
        <v>377</v>
      </c>
      <c r="C220" s="17" t="s">
        <v>112</v>
      </c>
      <c r="D220" s="18">
        <v>29</v>
      </c>
      <c r="E220" s="18">
        <v>0</v>
      </c>
      <c r="F220" s="14">
        <v>12</v>
      </c>
      <c r="G220" s="15">
        <v>17</v>
      </c>
      <c r="H220" s="16">
        <v>0</v>
      </c>
      <c r="I220" s="16">
        <v>1175.3599999999999</v>
      </c>
      <c r="J220" s="16">
        <v>1665.03</v>
      </c>
    </row>
    <row r="221" spans="1:10" ht="10.7" customHeight="1" x14ac:dyDescent="0.15">
      <c r="A221" s="19" t="s">
        <v>378</v>
      </c>
      <c r="B221" s="19"/>
      <c r="C221" s="19"/>
      <c r="D221" s="20">
        <v>2121.06</v>
      </c>
      <c r="E221" s="20"/>
      <c r="F221" s="21"/>
      <c r="G221" s="22"/>
      <c r="H221" s="23">
        <f>SUM(H220:H220)</f>
        <v>0</v>
      </c>
      <c r="I221" s="23">
        <f>SUM(I220:I220)</f>
        <v>1175.3599999999999</v>
      </c>
      <c r="J221" s="23">
        <f>SUM(J220:J220)</f>
        <v>1665.03</v>
      </c>
    </row>
    <row r="222" spans="1:10" ht="10.7" customHeight="1" x14ac:dyDescent="0.15">
      <c r="A222" s="24" t="s">
        <v>379</v>
      </c>
      <c r="B222" s="24"/>
      <c r="C222" s="24"/>
      <c r="D222" s="25"/>
      <c r="E222" s="25"/>
      <c r="F222" s="26"/>
      <c r="G222" s="10"/>
      <c r="H222" s="11"/>
      <c r="I222" s="11"/>
      <c r="J222" s="11"/>
    </row>
    <row r="223" spans="1:10" ht="10.7" customHeight="1" x14ac:dyDescent="0.15">
      <c r="A223" s="17" t="s">
        <v>380</v>
      </c>
      <c r="B223" s="17" t="s">
        <v>381</v>
      </c>
      <c r="C223" s="17" t="s">
        <v>3</v>
      </c>
      <c r="D223" s="18">
        <v>60</v>
      </c>
      <c r="E223" s="18">
        <v>0</v>
      </c>
      <c r="F223" s="14">
        <v>40</v>
      </c>
      <c r="G223" s="15">
        <v>20</v>
      </c>
      <c r="H223" s="16">
        <v>0</v>
      </c>
      <c r="I223" s="16">
        <v>8146.4</v>
      </c>
      <c r="J223" s="16">
        <v>4073.2</v>
      </c>
    </row>
    <row r="224" spans="1:10" ht="10.7" customHeight="1" x14ac:dyDescent="0.15">
      <c r="A224" s="19" t="s">
        <v>382</v>
      </c>
      <c r="B224" s="19"/>
      <c r="C224" s="19"/>
      <c r="D224" s="20">
        <v>8468.4</v>
      </c>
      <c r="E224" s="20"/>
      <c r="F224" s="21"/>
      <c r="G224" s="22"/>
      <c r="H224" s="23">
        <f>SUM(H223:H223)</f>
        <v>0</v>
      </c>
      <c r="I224" s="23">
        <f>SUM(I223:I223)</f>
        <v>8146.4</v>
      </c>
      <c r="J224" s="23">
        <f>SUM(J223:J223)</f>
        <v>4073.2</v>
      </c>
    </row>
    <row r="225" spans="1:10" ht="10.7" customHeight="1" x14ac:dyDescent="0.15">
      <c r="A225" s="27"/>
      <c r="B225" s="27" t="s">
        <v>383</v>
      </c>
      <c r="C225" s="27"/>
      <c r="D225" s="28">
        <v>728652.84</v>
      </c>
      <c r="E225" s="28">
        <v>0</v>
      </c>
      <c r="F225" s="29">
        <v>0</v>
      </c>
      <c r="G225" s="30">
        <v>0</v>
      </c>
      <c r="H225" s="31">
        <v>522728.94000000006</v>
      </c>
      <c r="I225" s="31">
        <v>558378.05999999994</v>
      </c>
      <c r="J225" s="31">
        <v>890321.46000000031</v>
      </c>
    </row>
    <row r="226" spans="1:10" ht="10.7" customHeight="1" x14ac:dyDescent="0.15">
      <c r="A226" s="17"/>
      <c r="B226" s="17"/>
      <c r="C226" s="17"/>
      <c r="D226" s="18"/>
      <c r="E226" s="18"/>
      <c r="F226" s="32"/>
      <c r="G226" s="32"/>
      <c r="H226" s="33"/>
      <c r="I226" s="33"/>
      <c r="J226" s="33"/>
    </row>
    <row r="227" spans="1:10" ht="10.7" customHeight="1" x14ac:dyDescent="0.15">
      <c r="A227" s="34" t="s">
        <v>384</v>
      </c>
      <c r="B227" s="34" t="s">
        <v>385</v>
      </c>
      <c r="C227" s="34" t="s">
        <v>386</v>
      </c>
      <c r="D227" s="35" t="s">
        <v>387</v>
      </c>
      <c r="E227" s="35" t="s">
        <v>388</v>
      </c>
      <c r="F227" s="32"/>
      <c r="G227" s="32"/>
      <c r="H227" s="33"/>
      <c r="I227" s="33"/>
      <c r="J227" s="33"/>
    </row>
    <row r="228" spans="1:10" ht="10.7" customHeight="1" x14ac:dyDescent="0.15">
      <c r="A228" s="36"/>
      <c r="B228" s="36"/>
      <c r="C228" s="36"/>
      <c r="D228" s="32"/>
      <c r="E228" s="32"/>
      <c r="F228" s="32"/>
      <c r="G228" s="32"/>
      <c r="H228" s="33"/>
      <c r="I228" s="33"/>
      <c r="J228" s="33"/>
    </row>
  </sheetData>
  <mergeCells count="42">
    <mergeCell ref="A168:J168"/>
    <mergeCell ref="A193:J193"/>
    <mergeCell ref="A212:J212"/>
    <mergeCell ref="A216:J216"/>
    <mergeCell ref="A219:J219"/>
    <mergeCell ref="A222:J222"/>
    <mergeCell ref="A144:J144"/>
    <mergeCell ref="A148:J148"/>
    <mergeCell ref="A153:J153"/>
    <mergeCell ref="A156:J156"/>
    <mergeCell ref="A160:J160"/>
    <mergeCell ref="A164:J164"/>
    <mergeCell ref="A117:J117"/>
    <mergeCell ref="A126:J126"/>
    <mergeCell ref="A131:J131"/>
    <mergeCell ref="A134:J134"/>
    <mergeCell ref="A137:J137"/>
    <mergeCell ref="A141:J141"/>
    <mergeCell ref="A96:J96"/>
    <mergeCell ref="A99:J99"/>
    <mergeCell ref="A102:J102"/>
    <mergeCell ref="A105:J105"/>
    <mergeCell ref="A109:J109"/>
    <mergeCell ref="A112:J112"/>
    <mergeCell ref="A71:J71"/>
    <mergeCell ref="A78:J78"/>
    <mergeCell ref="A81:J81"/>
    <mergeCell ref="A84:J84"/>
    <mergeCell ref="A89:J89"/>
    <mergeCell ref="A92:J92"/>
    <mergeCell ref="A35:J35"/>
    <mergeCell ref="A41:J41"/>
    <mergeCell ref="A45:J45"/>
    <mergeCell ref="A58:J58"/>
    <mergeCell ref="A61:J61"/>
    <mergeCell ref="A66:J66"/>
    <mergeCell ref="A1:J1"/>
    <mergeCell ref="A2:J2"/>
    <mergeCell ref="A3:J3"/>
    <mergeCell ref="A4:J4"/>
    <mergeCell ref="A6:J6"/>
    <mergeCell ref="A30:J30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</dc:creator>
  <cp:lastModifiedBy>Sekhar</cp:lastModifiedBy>
  <dcterms:created xsi:type="dcterms:W3CDTF">2026-10-01T07:31:34Z</dcterms:created>
  <dcterms:modified xsi:type="dcterms:W3CDTF">2026-10-01T07:32:12Z</dcterms:modified>
</cp:coreProperties>
</file>